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Comparison Operators" state="visible" r:id="rId5"/>
    <sheet sheetId="3" name="Passing &amp; Temperature" state="visible" r:id="rId6"/>
    <sheet sheetId="4" name="Typing &amp; Trucking" state="visible" r:id="rId7"/>
    <sheet sheetId="5" name="Exact Match VLOOKUP" state="visible" r:id="rId8"/>
    <sheet sheetId="6" name="More VLOOKUP" state="visible" r:id="rId9"/>
    <sheet sheetId="7" name="Extra IF functions" state="visible" r:id="rId10"/>
    <sheet sheetId="8" name="Extra VLOOKUP-Students" state="visible" r:id="rId11"/>
    <sheet sheetId="9" name="Fees" state="visible" r:id="rId12"/>
    <sheet sheetId="10" name="TestScores" state="visible" r:id="rId13"/>
    <sheet sheetId="11" name="Practice-Temp" state="visible" r:id="rId14"/>
    <sheet sheetId="12" name="Worksheet Examples" state="visible" r:id="rId15"/>
    <sheet sheetId="13" name="Practice 1" state="visible" r:id="rId16"/>
    <sheet sheetId="14" name="Practice 3" state="visible" r:id="rId17"/>
  </sheets>
  <calcPr calcId="171027"/>
</workbook>
</file>

<file path=xl/sharedStrings.xml><?xml version="1.0" encoding="utf-8"?>
<sst xmlns="http://schemas.openxmlformats.org/spreadsheetml/2006/main" count="872" uniqueCount="434">
  <si>
    <t>IF Function and VLOOKUP Function Practice Instructions</t>
  </si>
  <si>
    <t xml:space="preserve">Use IF or VLOOKUP functions and absolute references to complete each of the practice exercises in this workbook. For each exercise, you only need to create the IF or VLOOKUP function once and then copy it down through the rows. If you don't get the correct result when you copy the function, then your function was not created correctly and you will need to fix it. 
Compare your completed IF function problems to the IF function answers at the bottom of that sheet. 
There are two additional sheets at the end, Extra IF Functions and Extra VLOOKUP, that you may do for extra practice.</t>
  </si>
  <si>
    <t>Use the table below to mark off the sheets as you complete them.</t>
  </si>
  <si>
    <t>Sheet #</t>
  </si>
  <si>
    <t>Sheet Name</t>
  </si>
  <si>
    <t>Contents</t>
  </si>
  <si>
    <t>Completed</t>
  </si>
  <si>
    <t>Sheet 1</t>
  </si>
  <si>
    <t>Instructions</t>
  </si>
  <si>
    <t>N/A</t>
  </si>
  <si>
    <t>Sheet 2</t>
  </si>
  <si>
    <t>Comparison Operators</t>
  </si>
  <si>
    <t>Sheet 3</t>
  </si>
  <si>
    <t>Passing &amp; Temperature</t>
  </si>
  <si>
    <t>IF Function Practice</t>
  </si>
  <si>
    <t>Sheet 4</t>
  </si>
  <si>
    <t>Typing &amp; Trucking</t>
  </si>
  <si>
    <t>Sheet 5</t>
  </si>
  <si>
    <t>Exact Match VLOOKUP</t>
  </si>
  <si>
    <t>VLOOKUP Practice</t>
  </si>
  <si>
    <t>Sheet 6</t>
  </si>
  <si>
    <t>More VLOOKUP</t>
  </si>
  <si>
    <t>Sheet 7</t>
  </si>
  <si>
    <t>Extra IF Functions</t>
  </si>
  <si>
    <t>Extra IF Function Practice</t>
  </si>
  <si>
    <t>Optional</t>
  </si>
  <si>
    <t>Sheet 8</t>
  </si>
  <si>
    <t>Extra VLOOKUP-Students</t>
  </si>
  <si>
    <t>Sheet 9</t>
  </si>
  <si>
    <t>Fees</t>
  </si>
  <si>
    <t>Lookup Table</t>
  </si>
  <si>
    <t>Sheet 10</t>
  </si>
  <si>
    <t>TestScores</t>
  </si>
  <si>
    <t>Passing</t>
  </si>
  <si>
    <t>Student</t>
  </si>
  <si>
    <t xml:space="preserve">Grade
Percentage</t>
  </si>
  <si>
    <t>Pass/No Pass</t>
  </si>
  <si>
    <t>Temperature - Warm or Not?</t>
  </si>
  <si>
    <t>Freda</t>
  </si>
  <si>
    <t>Passing Percentage</t>
  </si>
  <si>
    <t>Warm Temperature Minimum</t>
  </si>
  <si>
    <t>Jack</t>
  </si>
  <si>
    <t>Day</t>
  </si>
  <si>
    <t>Temperature</t>
  </si>
  <si>
    <t>Warm?</t>
  </si>
  <si>
    <t>Jose</t>
  </si>
  <si>
    <t>Monday</t>
  </si>
  <si>
    <t>Liam</t>
  </si>
  <si>
    <t>Tuesday</t>
  </si>
  <si>
    <t>Lupita</t>
  </si>
  <si>
    <t>Wednesday</t>
  </si>
  <si>
    <t>Roberto</t>
  </si>
  <si>
    <t>Thursday</t>
  </si>
  <si>
    <t>Sally</t>
  </si>
  <si>
    <t>Friday</t>
  </si>
  <si>
    <t>Samuel</t>
  </si>
  <si>
    <t>Saturday</t>
  </si>
  <si>
    <t>Ali</t>
  </si>
  <si>
    <t>Sunday</t>
  </si>
  <si>
    <t>Leticia</t>
  </si>
  <si>
    <t>Thanh</t>
  </si>
  <si>
    <t xml:space="preserve">If a student's grade percentage is at least the Passing Percentage in G2, then they Pass.
If not, they don't pass (No Pass).</t>
  </si>
  <si>
    <t xml:space="preserve">If the temperature on a day of the week was above the minimum, then it was a warm day.
If not, it was not warm.</t>
  </si>
  <si>
    <t>Answers</t>
  </si>
  <si>
    <t>Temp</t>
  </si>
  <si>
    <t>Pass</t>
  </si>
  <si>
    <t>Not Warm</t>
  </si>
  <si>
    <t>No Pass</t>
  </si>
  <si>
    <t>Warm</t>
  </si>
  <si>
    <t>Can I take a Break?</t>
  </si>
  <si>
    <t>Minimum Typing Speed</t>
  </si>
  <si>
    <t>Truck Drivers Pay</t>
  </si>
  <si>
    <t>Minimum miles per week</t>
  </si>
  <si>
    <t>Speed</t>
  </si>
  <si>
    <t>Take a Break or Keep Practicing?</t>
  </si>
  <si>
    <t>Driver</t>
  </si>
  <si>
    <t>Miles Driven</t>
  </si>
  <si>
    <t>Pay</t>
  </si>
  <si>
    <t>Joe</t>
  </si>
  <si>
    <t>Sam</t>
  </si>
  <si>
    <t>Nancy</t>
  </si>
  <si>
    <t>If a student's typing speed is less than the minimum, they need to keep practicing. If not, they can take a break.</t>
  </si>
  <si>
    <t>Calculate the total pay for each driver. If a driver drives more than the minimum miles a week, they get paid $3 per mile. If not, they get paid $2 per mile.</t>
  </si>
  <si>
    <t>Hint: You will need to use formulas for the Value if True and Value if False</t>
  </si>
  <si>
    <t>Take a break</t>
  </si>
  <si>
    <t>Keep practicing</t>
  </si>
  <si>
    <t>Joe Student</t>
  </si>
  <si>
    <t>Pizza Business</t>
  </si>
  <si>
    <t>Weekly Pizza Sales</t>
  </si>
  <si>
    <t>Type of Pizza</t>
  </si>
  <si>
    <t>Number of Pizzas Made</t>
  </si>
  <si>
    <t>Retail Price per Pizza</t>
  </si>
  <si>
    <t>Weekly Sales Amount</t>
  </si>
  <si>
    <t>Cheese</t>
  </si>
  <si>
    <t>Pepperoni</t>
  </si>
  <si>
    <t>Sausage and Mushroom</t>
  </si>
  <si>
    <t>Margherita</t>
  </si>
  <si>
    <t>Monthly Special</t>
  </si>
  <si>
    <t>Vegetarian</t>
  </si>
  <si>
    <t>Pizza  Pricing Table</t>
  </si>
  <si>
    <t>Ingredient Price</t>
  </si>
  <si>
    <t>Wholesale Price per Pizza</t>
  </si>
  <si>
    <t>Correct Answers:</t>
  </si>
  <si>
    <t>Chicken and Artichoke</t>
  </si>
  <si>
    <t>All Meat</t>
  </si>
  <si>
    <t>Barbeque Chicken</t>
  </si>
  <si>
    <t>Hawaiian</t>
  </si>
  <si>
    <t>Create VLOOKUP functions to retrieve the Cost, Retail price, and the Margin from the Pharmacy Lookup Table at the bottom of this sheet. Enter the functions so they can be copied down without errors. Spot check several of  items to make sure your function is correct.</t>
  </si>
  <si>
    <t>Create a VLOOKUP functions to retrieve the Fees from the Fees Lookup Table at the bottom of this sheet. Remember to enter the function in such a way that it can be copied down without errors.</t>
  </si>
  <si>
    <t>CMP Pharmacy Inventory</t>
  </si>
  <si>
    <t>Hamilton Civic Center</t>
  </si>
  <si>
    <t>Product ID</t>
  </si>
  <si>
    <t>Description</t>
  </si>
  <si>
    <t>Cost</t>
  </si>
  <si>
    <t>Retail</t>
  </si>
  <si>
    <t>Margin</t>
  </si>
  <si>
    <t>Quantity</t>
  </si>
  <si>
    <t>Community Program Attendance</t>
  </si>
  <si>
    <t>CMP-006</t>
  </si>
  <si>
    <t>Acetaminophen</t>
  </si>
  <si>
    <t>CMP-012</t>
  </si>
  <si>
    <t>Antibiotic ointment</t>
  </si>
  <si>
    <t>Session Name</t>
  </si>
  <si>
    <t>Fee</t>
  </si>
  <si>
    <t>April</t>
  </si>
  <si>
    <t>May</t>
  </si>
  <si>
    <t>June</t>
  </si>
  <si>
    <t>Total Attendees</t>
  </si>
  <si>
    <t>CMP-004</t>
  </si>
  <si>
    <t>Antiseptic wash</t>
  </si>
  <si>
    <t>Lapidary Arts</t>
  </si>
  <si>
    <t>CMP-007</t>
  </si>
  <si>
    <t>Bandage, 1 inch strips</t>
  </si>
  <si>
    <t>Ceramics</t>
  </si>
  <si>
    <t>CMP-008</t>
  </si>
  <si>
    <t>Bandage, 2 inch strips</t>
  </si>
  <si>
    <t>Writing Workshop</t>
  </si>
  <si>
    <t>CMP-009</t>
  </si>
  <si>
    <t>Bandage, assorted</t>
  </si>
  <si>
    <t>Drop-In Fitness</t>
  </si>
  <si>
    <t>CMP-002</t>
  </si>
  <si>
    <t>Cough drops</t>
  </si>
  <si>
    <t>Latin Dance</t>
  </si>
  <si>
    <t>CMP-011</t>
  </si>
  <si>
    <t>Cough syrup</t>
  </si>
  <si>
    <t>Virtual Museums</t>
  </si>
  <si>
    <t>CMP-014</t>
  </si>
  <si>
    <t>Dandruff shampoo</t>
  </si>
  <si>
    <t>Cooking for Health</t>
  </si>
  <si>
    <t>CMP-005</t>
  </si>
  <si>
    <t>Disinfectant wipes</t>
  </si>
  <si>
    <t>Gardening Tips</t>
  </si>
  <si>
    <t>CMP-010</t>
  </si>
  <si>
    <t>Ibuprofen</t>
  </si>
  <si>
    <t>Book Worms</t>
  </si>
  <si>
    <t>CMP-015</t>
  </si>
  <si>
    <t>Insect bite gel</t>
  </si>
  <si>
    <t>Total</t>
  </si>
  <si>
    <t>CMP-013</t>
  </si>
  <si>
    <t>Moisture lotion</t>
  </si>
  <si>
    <t>CMP-003</t>
  </si>
  <si>
    <t>Nasal spray</t>
  </si>
  <si>
    <t>CMP-001</t>
  </si>
  <si>
    <t>Tongue depressor</t>
  </si>
  <si>
    <t>Pharmacy Lookup Table</t>
  </si>
  <si>
    <t>Fees Lookup Table</t>
  </si>
  <si>
    <t>Program</t>
  </si>
  <si>
    <t>Gas is Expensive!</t>
  </si>
  <si>
    <t>Who gets a bonus?</t>
  </si>
  <si>
    <t>Deliver Status</t>
  </si>
  <si>
    <t>Gas Price</t>
  </si>
  <si>
    <t>Do we need to take action?</t>
  </si>
  <si>
    <t>Price</t>
  </si>
  <si>
    <t>Super Expensive or Kind of Expensive</t>
  </si>
  <si>
    <t>Name</t>
  </si>
  <si>
    <t>Status</t>
  </si>
  <si>
    <t>Bonus</t>
  </si>
  <si>
    <t>Order Number</t>
  </si>
  <si>
    <t>Delivery Status</t>
  </si>
  <si>
    <t>Action Needed</t>
  </si>
  <si>
    <t>Thao Nguyen</t>
  </si>
  <si>
    <t>FT</t>
  </si>
  <si>
    <t>5100-987</t>
  </si>
  <si>
    <t>Delivered</t>
  </si>
  <si>
    <t>Lucy Smith</t>
  </si>
  <si>
    <t>PT</t>
  </si>
  <si>
    <t>5100-988</t>
  </si>
  <si>
    <t>In Transit</t>
  </si>
  <si>
    <t>Selena Garcia</t>
  </si>
  <si>
    <t>5100-989</t>
  </si>
  <si>
    <t>Chantel Jones</t>
  </si>
  <si>
    <t>5100-990</t>
  </si>
  <si>
    <t>On Hold</t>
  </si>
  <si>
    <t>Franklin Jackson</t>
  </si>
  <si>
    <t>5100-991</t>
  </si>
  <si>
    <t>Lucinda Chavez</t>
  </si>
  <si>
    <t>5100-992</t>
  </si>
  <si>
    <t>Dante Orion</t>
  </si>
  <si>
    <t>5100-993</t>
  </si>
  <si>
    <t>If the price of a gallon of gas is at least $4.50, it is super expensive. If not, it is kind of expensive.</t>
  </si>
  <si>
    <t xml:space="preserve">If an employee is Part-Time (PT) they get a bonus.
If not, they get no bonus.</t>
  </si>
  <si>
    <t xml:space="preserve">If the delivery status of an item is Delivered, then no action is needed. 
If not, follow-up action is needed.</t>
  </si>
  <si>
    <t>Super Expensive</t>
  </si>
  <si>
    <t>No Bonus</t>
  </si>
  <si>
    <t>No Action</t>
  </si>
  <si>
    <t>Follow-up</t>
  </si>
  <si>
    <t>Kind of Expensive</t>
  </si>
  <si>
    <t>Follow the steps in the blue cells.</t>
  </si>
  <si>
    <t>University ID</t>
  </si>
  <si>
    <t>4. Clean the data on the TestScores sheet. Instructions to clean the data are on the Test Scores sheet.</t>
  </si>
  <si>
    <t>Full Name</t>
  </si>
  <si>
    <t>1. Using the Lookup table on this sheet, enter a VLOOKUP function in cell B4  that will return a student's full name based on the ID entered in cell B3.</t>
  </si>
  <si>
    <t>Residence Hall</t>
  </si>
  <si>
    <t>2. In cell B5, enter a VLOOKUP function in that will return a student's Residence Hall based on the ID entered in cell B3.</t>
  </si>
  <si>
    <t>5. On the TestScores worksheet, create a VLOOKUP function to find the letter grade for each student.</t>
  </si>
  <si>
    <t>3. In cell H11, create a VLOOKUP function that will return the amount of fees a student owes based on their major. The lookup table for fees is located on the Fees sheet. Create the function in such a way that it can be filled down for all students.</t>
  </si>
  <si>
    <t xml:space="preserve">6. In cell L11 of the Students sheet, create a VLOOKUP function to add the students' grades  from the TestScores sheet. </t>
  </si>
  <si>
    <t>Last Name</t>
  </si>
  <si>
    <t>First Name</t>
  </si>
  <si>
    <t>MI</t>
  </si>
  <si>
    <t>Prog Code</t>
  </si>
  <si>
    <t xml:space="preserve"> Major</t>
  </si>
  <si>
    <t>Class</t>
  </si>
  <si>
    <t xml:space="preserve">FT/PT </t>
  </si>
  <si>
    <t>Test Grade</t>
  </si>
  <si>
    <t>Kawamoto</t>
  </si>
  <si>
    <t>Motonari</t>
  </si>
  <si>
    <t>BL-BI</t>
  </si>
  <si>
    <t>Biology</t>
  </si>
  <si>
    <t>Senior</t>
  </si>
  <si>
    <t>Full time</t>
  </si>
  <si>
    <t>Newton</t>
  </si>
  <si>
    <t>Niwa</t>
  </si>
  <si>
    <t>Romi</t>
  </si>
  <si>
    <t>BL-GEOL</t>
  </si>
  <si>
    <t>Geology</t>
  </si>
  <si>
    <t>King</t>
  </si>
  <si>
    <t>Echevarría Agosto</t>
  </si>
  <si>
    <t>Raffi</t>
  </si>
  <si>
    <t>BL-BUS</t>
  </si>
  <si>
    <t>Business</t>
  </si>
  <si>
    <t>Sophomore</t>
  </si>
  <si>
    <t>Part time</t>
  </si>
  <si>
    <t>Abernathy</t>
  </si>
  <si>
    <t>Cruz Alanis</t>
  </si>
  <si>
    <t>Jasper</t>
  </si>
  <si>
    <t>BL-MUS</t>
  </si>
  <si>
    <t>Music</t>
  </si>
  <si>
    <t>Masters</t>
  </si>
  <si>
    <t>Martinez</t>
  </si>
  <si>
    <t>Mary</t>
  </si>
  <si>
    <t>A</t>
  </si>
  <si>
    <t>BL-EDUC</t>
  </si>
  <si>
    <t>Education</t>
  </si>
  <si>
    <t>Doctorate</t>
  </si>
  <si>
    <t>Seale</t>
  </si>
  <si>
    <t>Cotto Alfaro</t>
  </si>
  <si>
    <t>Bernabé</t>
  </si>
  <si>
    <t>BL-JOUR</t>
  </si>
  <si>
    <t>Journalism</t>
  </si>
  <si>
    <t>Carmichael</t>
  </si>
  <si>
    <t>Valles Amador</t>
  </si>
  <si>
    <t>Jeny</t>
  </si>
  <si>
    <t>BL-OPT</t>
  </si>
  <si>
    <t>Optometry</t>
  </si>
  <si>
    <t xml:space="preserve">Professional Fourth </t>
  </si>
  <si>
    <t>off-campus</t>
  </si>
  <si>
    <t>Rainey</t>
  </si>
  <si>
    <t>David</t>
  </si>
  <si>
    <t>C</t>
  </si>
  <si>
    <t>Barraza Anguiano</t>
  </si>
  <si>
    <t>Lorujama</t>
  </si>
  <si>
    <t>BL-UDIV</t>
  </si>
  <si>
    <t>Theatre</t>
  </si>
  <si>
    <t>Nemoto</t>
  </si>
  <si>
    <t>Haruna</t>
  </si>
  <si>
    <t>Junior</t>
  </si>
  <si>
    <t>Jackson</t>
  </si>
  <si>
    <t>Abe</t>
  </si>
  <si>
    <t>Osami</t>
  </si>
  <si>
    <t>BL-AMID</t>
  </si>
  <si>
    <t>Apparel Merchandising</t>
  </si>
  <si>
    <t>Lozano Aranda</t>
  </si>
  <si>
    <t>Amilcar</t>
  </si>
  <si>
    <t>BL-EALC</t>
  </si>
  <si>
    <t>East Asian Language and Culture</t>
  </si>
  <si>
    <t>Evers</t>
  </si>
  <si>
    <t>Alva Arce</t>
  </si>
  <si>
    <t>Romelio</t>
  </si>
  <si>
    <t>Muñoz Arce</t>
  </si>
  <si>
    <t>Aurea</t>
  </si>
  <si>
    <t>BL-HPER</t>
  </si>
  <si>
    <t>Health</t>
  </si>
  <si>
    <t>Hernández Arteaga</t>
  </si>
  <si>
    <t>Zuleica</t>
  </si>
  <si>
    <t>BL-FINA</t>
  </si>
  <si>
    <t>Fine Arts</t>
  </si>
  <si>
    <t>Woosley</t>
  </si>
  <si>
    <t>Rebecca</t>
  </si>
  <si>
    <t>J</t>
  </si>
  <si>
    <t>Asai</t>
  </si>
  <si>
    <t>Kiyotaka</t>
  </si>
  <si>
    <t>Takaki</t>
  </si>
  <si>
    <t>Rieka</t>
  </si>
  <si>
    <t>Vicente</t>
  </si>
  <si>
    <t>R</t>
  </si>
  <si>
    <t>Cordova Avilés</t>
  </si>
  <si>
    <t>Nasha</t>
  </si>
  <si>
    <t>BL-CJUS</t>
  </si>
  <si>
    <t>Criminal Justice</t>
  </si>
  <si>
    <t>Shaw</t>
  </si>
  <si>
    <t>Richard</t>
  </si>
  <si>
    <t>L</t>
  </si>
  <si>
    <t>Tyler</t>
  </si>
  <si>
    <t>Ella</t>
  </si>
  <si>
    <t>B</t>
  </si>
  <si>
    <t>Riddick</t>
  </si>
  <si>
    <t>Robert</t>
  </si>
  <si>
    <t>M</t>
  </si>
  <si>
    <t>BL-INFO</t>
  </si>
  <si>
    <t>Informatics</t>
  </si>
  <si>
    <t>Hurtado Barela</t>
  </si>
  <si>
    <t>Dunstano</t>
  </si>
  <si>
    <t>BL-PSY</t>
  </si>
  <si>
    <t>Psychology</t>
  </si>
  <si>
    <t>Wester</t>
  </si>
  <si>
    <t>Lisa</t>
  </si>
  <si>
    <t>G</t>
  </si>
  <si>
    <t>Hardin</t>
  </si>
  <si>
    <t>Lucien</t>
  </si>
  <si>
    <t>Chang</t>
  </si>
  <si>
    <t>Jacob</t>
  </si>
  <si>
    <t>Cervántez Benavidez</t>
  </si>
  <si>
    <t>Jovianne</t>
  </si>
  <si>
    <t>Connors</t>
  </si>
  <si>
    <t>K</t>
  </si>
  <si>
    <t>BL-SCS</t>
  </si>
  <si>
    <t>Undergrad Special</t>
  </si>
  <si>
    <t>Vasquez</t>
  </si>
  <si>
    <t>Geraldine</t>
  </si>
  <si>
    <t>W</t>
  </si>
  <si>
    <t>Lucas</t>
  </si>
  <si>
    <t>Julio</t>
  </si>
  <si>
    <t>D</t>
  </si>
  <si>
    <t>Hughes</t>
  </si>
  <si>
    <t>Peter</t>
  </si>
  <si>
    <t>BL-TELC</t>
  </si>
  <si>
    <t>Telecommunications</t>
  </si>
  <si>
    <t>Rosales</t>
  </si>
  <si>
    <t>Helen</t>
  </si>
  <si>
    <t>Monnin</t>
  </si>
  <si>
    <t>Carl</t>
  </si>
  <si>
    <t>Peachey</t>
  </si>
  <si>
    <t>Byron</t>
  </si>
  <si>
    <t>Henderson</t>
  </si>
  <si>
    <t>Lydia</t>
  </si>
  <si>
    <t>Fernandez</t>
  </si>
  <si>
    <t>Arthur</t>
  </si>
  <si>
    <t>Newman</t>
  </si>
  <si>
    <t>Bradley</t>
  </si>
  <si>
    <t>Fuller</t>
  </si>
  <si>
    <t>Jason</t>
  </si>
  <si>
    <t>Q</t>
  </si>
  <si>
    <t>Zavala Briones</t>
  </si>
  <si>
    <t>Barlaan</t>
  </si>
  <si>
    <t>Marchant</t>
  </si>
  <si>
    <t>Kurt</t>
  </si>
  <si>
    <t>Anthropology</t>
  </si>
  <si>
    <t>Communication</t>
  </si>
  <si>
    <t>English</t>
  </si>
  <si>
    <t>Law</t>
  </si>
  <si>
    <t>Mathematics</t>
  </si>
  <si>
    <t>Political Science</t>
  </si>
  <si>
    <t>Public and Environmental Affairs</t>
  </si>
  <si>
    <t>Student ID</t>
  </si>
  <si>
    <t>Test Score</t>
  </si>
  <si>
    <t>Grade</t>
  </si>
  <si>
    <t>To Clean the Data/Remove Duplicate Values</t>
  </si>
  <si>
    <t>Score</t>
  </si>
  <si>
    <t>There are duplicate Student ID numbers in the list in column A. To remove the duplicates/clean the data:</t>
  </si>
  <si>
    <t>F</t>
  </si>
  <si>
    <t>1.      Select cells A2:B45.</t>
  </si>
  <si>
    <t>2.      Go to the Data tab on the ribbon then the Data Tools group and click on the "Remove Duplicates" command.</t>
  </si>
  <si>
    <t>3.      In the Remove Duplicates dialog box, click on “Unselect All.” You don’t want to remove duplicate test scores.</t>
  </si>
  <si>
    <t>4.      Select “Student ID” in the Columns list.</t>
  </si>
  <si>
    <t>5.      Click “OK.”</t>
  </si>
  <si>
    <t>6.      The pop-up message should say, “3 duplicate values found and removed…”</t>
  </si>
  <si>
    <t>7.      Click “OK” to close the message box and move on to step #5 on the Students sheet.</t>
  </si>
  <si>
    <t>Average Temp</t>
  </si>
  <si>
    <t>Highest Temp</t>
  </si>
  <si>
    <t>Lowest Temp</t>
  </si>
  <si>
    <t>Number of Days</t>
  </si>
  <si>
    <t>If the Temperature was 65 or above, it was a warm day.</t>
  </si>
  <si>
    <t>Example #1 - Buy it or not</t>
  </si>
  <si>
    <t>Example #3 - Price of Gas</t>
  </si>
  <si>
    <t>Item</t>
  </si>
  <si>
    <t>Buy it or not?</t>
  </si>
  <si>
    <t>Ring</t>
  </si>
  <si>
    <t>Dress</t>
  </si>
  <si>
    <t>Coat</t>
  </si>
  <si>
    <t>Shoes</t>
  </si>
  <si>
    <t>Example #2 - Typing Speed</t>
  </si>
  <si>
    <t>Example #4 - Truck Drivers</t>
  </si>
  <si>
    <t xml:space="preserve">Total
Mileage Pay</t>
  </si>
  <si>
    <t>Total Pay</t>
  </si>
  <si>
    <t>Per Mile</t>
  </si>
  <si>
    <t>Daniel</t>
  </si>
  <si>
    <t>Luis</t>
  </si>
  <si>
    <t>Jackie</t>
  </si>
  <si>
    <t>Loretta</t>
  </si>
  <si>
    <t xml:space="preserve">Total Mileage Pay: Calculate the Total Mileage Pay by multiplying the Miles Driven by the Per Mile rate.  </t>
  </si>
  <si>
    <t>Be sure to use absolute reference so you can copy the formula with your Fill Handle.</t>
  </si>
  <si>
    <t>Bonus: Write an IF function to determine if the driver gets a bonus or not, based on the following:</t>
  </si>
  <si>
    <t>If they drove more than 750 miles, they get a bonus of $150.  If not, they get no bonus.</t>
  </si>
  <si>
    <t>Total Pay: Calculate this by adding the Total Mileage Pay plus the Bonus</t>
  </si>
  <si>
    <t>Employee</t>
  </si>
  <si>
    <t>Hours Worked</t>
  </si>
  <si>
    <t>Hourly Rate</t>
  </si>
  <si>
    <t>Gross Pay</t>
  </si>
  <si>
    <t>Income Tax</t>
  </si>
  <si>
    <t>Net Pay</t>
  </si>
  <si>
    <t>Tax Rate</t>
  </si>
  <si>
    <t xml:space="preserve">John </t>
  </si>
  <si>
    <t>Susie</t>
  </si>
  <si>
    <t>Francis</t>
  </si>
  <si>
    <t>Samantha</t>
  </si>
  <si>
    <t>MAXIMUM</t>
  </si>
  <si>
    <t>MINIMUM</t>
  </si>
  <si>
    <t>AVERAGE</t>
  </si>
  <si>
    <t>Create the following formulas:</t>
  </si>
  <si>
    <t>Gross Pay - Hours Worked times the Hourly Rate</t>
  </si>
  <si>
    <t>Income Tax - Gross Pay times the Tax Rate</t>
  </si>
  <si>
    <t>Net Pay - Gross Pay - Income Tax</t>
  </si>
  <si>
    <t>Find the Maximum, Minimum, and Average for all five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</si>
</sst>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6" x14ac:knownFonts="1">
    <font>
      <color theme="1"/>
      <family val="2"/>
      <scheme val="minor"/>
      <sz val="11"/>
      <name val="Calibri"/>
    </font>
    <font>
      <sz val="20"/>
      <name val="Calibri"/>
    </font>
    <font>
      <sz val="14"/>
      <name val="Calibri"/>
    </font>
    <font>
      <sz val="11"/>
      <name val="Calibri"/>
    </font>
    <font>
      <b/>
      <sz val="14"/>
      <name val="Calibri"/>
    </font>
    <font>
      <b/>
      <sz val="11"/>
      <name val="Calibri"/>
    </font>
    <font>
      <i/>
      <sz val="11"/>
      <name val="Calibri"/>
    </font>
    <font>
      <b/>
      <sz val="16"/>
      <name val="Calibri"/>
    </font>
    <font>
      <b/>
      <sz val="12"/>
      <name val="Calibri"/>
    </font>
    <font>
      <sz val="12"/>
      <name val="Times New Roman"/>
    </font>
    <font>
      <sz val="12"/>
      <name val="Calibri"/>
    </font>
    <font>
      <b/>
      <color rgb="FFFA7D00"/>
      <sz val="11"/>
      <name val="Calibri"/>
    </font>
    <font>
      <sz val="12"/>
      <name val="Calibri Light"/>
    </font>
    <font>
      <b/>
      <sz val="18"/>
      <name val="Calibri"/>
    </font>
    <font>
      <b/>
      <i/>
      <sz val="16"/>
      <name val="Calibri"/>
    </font>
    <font>
      <sz val="12"/>
      <name val="Aptos"/>
    </font>
  </fonts>
  <fills count="3">
    <fill>
      <patternFill patternType="none"/>
    </fill>
    <fill>
      <patternFill patternType="gray125"/>
    </fill>
    <fill>
      <patternFill patternType="solid">
        <fgColor rgb="FFF2F2F2"/>
      </patternFill>
    </fill>
  </fills>
  <borders count="36">
    <border>
      <left/>
      <right/>
      <top/>
      <bottom/>
      <diagonal/>
    </border>
    <border>
      <left style="medium">
        <color rgb="FF000000"/>
      </left>
      <right/>
      <top style="medium">
        <color rgb="FF000000"/>
      </top>
      <bottom style="medium">
        <color rgb="FF000000"/>
      </bottom>
      <diagonal/>
    </border>
    <border>
      <left style="thin">
        <color rgb="FF000000"/>
      </left>
      <right/>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style="thin">
        <color rgb="FF7F7F7F"/>
      </left>
      <right style="thin">
        <color rgb="FF7F7F7F"/>
      </right>
      <top style="thin">
        <color rgb="FF7F7F7F"/>
      </top>
      <bottom style="thin">
        <color rgb="FF7F7F7F"/>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dotted">
        <color rgb="FF000000"/>
      </top>
      <bottom style="dotted">
        <color rgb="FF000000"/>
      </bottom>
      <diagonal/>
    </border>
    <border>
      <left style="thin">
        <color rgb="FF000000"/>
      </left>
      <right style="thin">
        <color rgb="FF000000"/>
      </right>
      <top/>
      <bottom style="dotted">
        <color rgb="FF000000"/>
      </bottom>
      <diagonal/>
    </border>
    <border>
      <left style="thin">
        <color rgb="FF000000"/>
      </left>
      <right/>
      <top/>
      <bottom style="dotted">
        <color rgb="FF000000"/>
      </bottom>
      <diagonal/>
    </border>
    <border>
      <left/>
      <right style="thin">
        <color rgb="FF000000"/>
      </right>
      <top/>
      <bottom style="dotted">
        <color rgb="FF000000"/>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dotted">
        <color rgb="FF000000"/>
      </bottom>
      <diagonal/>
    </border>
    <border>
      <left/>
      <right/>
      <top style="thin">
        <color rgb="FF000000"/>
      </top>
      <bottom/>
      <diagonal/>
    </border>
  </borders>
  <cellStyleXfs count="1">
    <xf numFmtId="0" fontId="0" fillId="0" borderId="0"/>
  </cellStyleXfs>
  <cellXfs count="107">
    <xf numFmtId="0" fontId="0" fillId="0" borderId="0" xfId="0"/>
    <xf numFmtId="0" fontId="1" fillId="0" borderId="1" xfId="0" applyFont="1" applyBorder="1" applyAlignment="1">
      <alignment horizontal="center"/>
    </xf>
    <xf numFmtId="0" fontId="2" fillId="0" borderId="0" xfId="0" applyFont="1" applyAlignment="1">
      <alignment horizontal="left"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center" wrapText="1"/>
    </xf>
    <xf numFmtId="0" fontId="3" fillId="0" borderId="0" xfId="0" applyFont="1" applyAlignment="1">
      <alignment horizontal="center"/>
    </xf>
    <xf numFmtId="0" fontId="4" fillId="0" borderId="4" xfId="0" applyFont="1" applyBorder="1" applyAlignment="1">
      <alignment horizontal="center" vertical="center"/>
    </xf>
    <xf numFmtId="0" fontId="5" fillId="0" borderId="5" xfId="0" applyFont="1" applyBorder="1" applyAlignment="1">
      <alignment horizontal="center"/>
    </xf>
    <xf numFmtId="0" fontId="5" fillId="0" borderId="5" xfId="0" applyFont="1" applyBorder="1" applyAlignment="1">
      <alignment horizontal="center" wrapText="1"/>
    </xf>
    <xf numFmtId="0" fontId="4" fillId="0" borderId="0" xfId="0" applyFont="1" applyAlignment="1">
      <alignment horizontal="center" vertical="center"/>
    </xf>
    <xf numFmtId="0" fontId="3" fillId="0" borderId="5" xfId="0" applyFont="1" applyBorder="1"/>
    <xf numFmtId="10" fontId="3" fillId="0" borderId="5" xfId="0" applyNumberFormat="1" applyFont="1" applyBorder="1"/>
    <xf numFmtId="0" fontId="3" fillId="0" borderId="5" xfId="0" applyFont="1" applyBorder="1" applyAlignment="1">
      <alignment horizontal="left"/>
    </xf>
    <xf numFmtId="0" fontId="5" fillId="0" borderId="0" xfId="0" applyFont="1" applyAlignment="1">
      <alignment horizontal="right"/>
    </xf>
    <xf numFmtId="10" fontId="3" fillId="0" borderId="0" xfId="0" applyNumberFormat="1" applyFont="1"/>
    <xf numFmtId="0" fontId="5" fillId="0" borderId="0" xfId="0" applyFont="1"/>
    <xf numFmtId="0" fontId="3" fillId="0" borderId="0" xfId="0" applyFont="1"/>
    <xf numFmtId="0" fontId="3" fillId="0" borderId="5" xfId="0" applyFont="1" applyBorder="1" applyAlignment="1">
      <alignment horizontal="right"/>
    </xf>
    <xf numFmtId="0" fontId="3" fillId="0" borderId="1" xfId="0" applyFont="1" applyBorder="1" applyAlignment="1">
      <alignment horizontal="left" vertical="center" wrapText="1"/>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wrapText="1"/>
    </xf>
    <xf numFmtId="0" fontId="4" fillId="0" borderId="0" xfId="0" applyFont="1"/>
    <xf numFmtId="4" fontId="3" fillId="0" borderId="0" xfId="0" applyNumberFormat="1" applyFont="1"/>
    <xf numFmtId="4" fontId="3" fillId="0" borderId="5" xfId="0" applyNumberFormat="1" applyFont="1" applyBorder="1" applyAlignment="1">
      <alignment horizontal="center"/>
    </xf>
    <xf numFmtId="164" fontId="3" fillId="0" borderId="5" xfId="0" applyNumberFormat="1" applyFont="1" applyBorder="1" applyAlignment="1">
      <alignment horizontal="center"/>
    </xf>
    <xf numFmtId="0" fontId="3" fillId="0" borderId="6" xfId="0" applyFont="1" applyBorder="1" applyAlignment="1">
      <alignment horizontal="left" vertical="center" wrapText="1"/>
    </xf>
    <xf numFmtId="0" fontId="3" fillId="0" borderId="0" xfId="0" applyFont="1" applyAlignment="1">
      <alignment horizontal="left" vertical="center" wrapText="1"/>
    </xf>
    <xf numFmtId="0" fontId="6" fillId="0" borderId="0" xfId="0" applyFont="1"/>
    <xf numFmtId="0" fontId="3" fillId="0" borderId="0" xfId="0" applyFont="1" applyAlignment="1">
      <alignment wrapText="1"/>
    </xf>
    <xf numFmtId="0" fontId="3" fillId="0" borderId="0" xfId="0" applyFont="1" applyAlignment="1">
      <alignment horizontal="center" wrapText="1"/>
    </xf>
    <xf numFmtId="164" fontId="3" fillId="0" borderId="0" xfId="0" applyNumberFormat="1" applyFont="1"/>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vertical="center"/>
    </xf>
    <xf numFmtId="0" fontId="4" fillId="0" borderId="0" xfId="0" applyFont="1" applyAlignment="1">
      <alignment horizontal="center" wrapText="1"/>
    </xf>
    <xf numFmtId="0" fontId="8" fillId="0" borderId="4" xfId="0" applyFont="1" applyBorder="1" applyAlignment="1">
      <alignment wrapText="1"/>
    </xf>
    <xf numFmtId="0" fontId="10" fillId="0" borderId="0" xfId="0" applyFont="1" applyAlignment="1">
      <alignment wrapText="1"/>
    </xf>
    <xf numFmtId="0" fontId="10" fillId="0" borderId="0" xfId="0" applyFont="1"/>
    <xf numFmtId="164" fontId="11" fillId="2" borderId="7" xfId="0" applyNumberFormat="1" applyFont="1" applyFill="1" applyBorder="1"/>
    <xf numFmtId="164" fontId="10" fillId="0" borderId="0" xfId="0" applyNumberFormat="1" applyFont="1"/>
    <xf numFmtId="0" fontId="12" fillId="0" borderId="0" xfId="0" applyFont="1"/>
    <xf numFmtId="0" fontId="8" fillId="0" borderId="8" xfId="0" applyFont="1" applyBorder="1"/>
    <xf numFmtId="0" fontId="10" fillId="0" borderId="9" xfId="0" applyFont="1" applyBorder="1"/>
    <xf numFmtId="0" fontId="10" fillId="0" borderId="10" xfId="0" applyFont="1" applyBorder="1"/>
    <xf numFmtId="0" fontId="8" fillId="0" borderId="11" xfId="0" applyFont="1" applyBorder="1"/>
    <xf numFmtId="0" fontId="10" fillId="0" borderId="12" xfId="0" applyFont="1" applyBorder="1"/>
    <xf numFmtId="0" fontId="10" fillId="0" borderId="11" xfId="0" applyFont="1" applyBorder="1"/>
    <xf numFmtId="4" fontId="10" fillId="0" borderId="0" xfId="0" applyNumberFormat="1" applyFont="1"/>
    <xf numFmtId="0" fontId="10" fillId="0" borderId="13" xfId="0" applyFont="1" applyBorder="1"/>
    <xf numFmtId="164" fontId="10" fillId="0" borderId="14" xfId="0" applyNumberFormat="1" applyFont="1" applyBorder="1"/>
    <xf numFmtId="0" fontId="10" fillId="0" borderId="14" xfId="0" applyFont="1" applyBorder="1"/>
    <xf numFmtId="0" fontId="10" fillId="0" borderId="15" xfId="0" applyFont="1" applyBorder="1"/>
    <xf numFmtId="0" fontId="3" fillId="0" borderId="0" xfId="0" applyFont="1" applyAlignment="1">
      <alignment vertical="center"/>
    </xf>
    <xf numFmtId="0" fontId="13" fillId="0" borderId="2" xfId="0" applyFont="1" applyBorder="1" applyAlignment="1">
      <alignment horizontal="center" vertical="center"/>
    </xf>
    <xf numFmtId="0" fontId="3" fillId="0" borderId="6" xfId="0" applyFont="1" applyBorder="1"/>
    <xf numFmtId="0" fontId="3" fillId="0" borderId="16" xfId="0" applyFont="1" applyBorder="1"/>
    <xf numFmtId="0" fontId="3" fillId="0" borderId="17" xfId="0" applyFont="1" applyBorder="1"/>
    <xf numFmtId="0" fontId="3" fillId="0" borderId="18" xfId="0" applyFont="1" applyBorder="1"/>
    <xf numFmtId="0" fontId="14" fillId="0" borderId="0" xfId="0" applyFont="1"/>
    <xf numFmtId="4" fontId="3" fillId="0" borderId="19" xfId="0" applyNumberFormat="1" applyFont="1" applyBorder="1"/>
    <xf numFmtId="0" fontId="5" fillId="0" borderId="5" xfId="0" applyFont="1" applyBorder="1"/>
    <xf numFmtId="0" fontId="10" fillId="0" borderId="20" xfId="0" applyFont="1" applyBorder="1" applyAlignment="1">
      <alignment vertical="center"/>
    </xf>
    <xf numFmtId="0" fontId="3" fillId="0" borderId="20" xfId="0" applyFont="1" applyBorder="1"/>
    <xf numFmtId="164" fontId="3" fillId="0" borderId="20" xfId="0" applyNumberFormat="1" applyFont="1" applyBorder="1"/>
    <xf numFmtId="0" fontId="10" fillId="0" borderId="21" xfId="0" applyFont="1" applyBorder="1" applyAlignment="1">
      <alignment vertical="center"/>
    </xf>
    <xf numFmtId="0" fontId="3" fillId="0" borderId="21" xfId="0" applyFont="1" applyBorder="1"/>
    <xf numFmtId="0" fontId="5" fillId="0" borderId="22" xfId="0" applyFont="1" applyBorder="1" applyAlignment="1">
      <alignment horizontal="center"/>
    </xf>
    <xf numFmtId="4" fontId="5" fillId="0" borderId="5" xfId="0" applyNumberFormat="1" applyFont="1" applyBorder="1" applyAlignment="1">
      <alignment horizontal="center"/>
    </xf>
    <xf numFmtId="4" fontId="5" fillId="0" borderId="23" xfId="0" applyNumberFormat="1" applyFont="1" applyBorder="1" applyAlignment="1">
      <alignment horizontal="center" wrapText="1"/>
    </xf>
    <xf numFmtId="4" fontId="5" fillId="0" borderId="19" xfId="0" applyNumberFormat="1" applyFont="1" applyBorder="1"/>
    <xf numFmtId="0" fontId="3" fillId="0" borderId="24" xfId="0" applyFont="1" applyBorder="1"/>
    <xf numFmtId="164" fontId="3" fillId="0" borderId="25" xfId="0" applyNumberFormat="1" applyFont="1" applyBorder="1"/>
    <xf numFmtId="0" fontId="3" fillId="0" borderId="25" xfId="0" applyFont="1" applyBorder="1"/>
    <xf numFmtId="0" fontId="3" fillId="0" borderId="26" xfId="0" applyFont="1" applyBorder="1"/>
    <xf numFmtId="0" fontId="3" fillId="0" borderId="27" xfId="0" applyFont="1" applyBorder="1"/>
    <xf numFmtId="0" fontId="3" fillId="0" borderId="28" xfId="0" applyFont="1" applyBorder="1"/>
    <xf numFmtId="0" fontId="3" fillId="0" borderId="29" xfId="0" applyFont="1" applyBorder="1"/>
    <xf numFmtId="0" fontId="3" fillId="0" borderId="30" xfId="0" applyFont="1" applyBorder="1"/>
    <xf numFmtId="0" fontId="5" fillId="0" borderId="24" xfId="0" applyFont="1" applyBorder="1" applyAlignment="1">
      <alignment horizontal="right"/>
    </xf>
    <xf numFmtId="0" fontId="5" fillId="0" borderId="25" xfId="0" applyFont="1" applyBorder="1"/>
    <xf numFmtId="0" fontId="3" fillId="0" borderId="31" xfId="0" applyFont="1" applyBorder="1"/>
    <xf numFmtId="0" fontId="3" fillId="0" borderId="32" xfId="0" applyFont="1" applyBorder="1"/>
    <xf numFmtId="4" fontId="3" fillId="0" borderId="32" xfId="0" applyNumberFormat="1" applyFont="1" applyBorder="1"/>
    <xf numFmtId="4" fontId="3" fillId="0" borderId="33" xfId="0" applyNumberFormat="1" applyFont="1" applyBorder="1"/>
    <xf numFmtId="0" fontId="4" fillId="0" borderId="4" xfId="0" applyFont="1" applyBorder="1" applyAlignment="1">
      <alignment horizontal="center"/>
    </xf>
    <xf numFmtId="0" fontId="10" fillId="0" borderId="34" xfId="0" applyFont="1" applyBorder="1" applyAlignment="1">
      <alignment vertical="center"/>
    </xf>
    <xf numFmtId="164" fontId="3" fillId="0" borderId="5" xfId="0" applyNumberFormat="1" applyFont="1" applyBorder="1" applyAlignment="1">
      <alignment horizontal="right" vertical="center"/>
    </xf>
    <xf numFmtId="0" fontId="10" fillId="0" borderId="24" xfId="0" applyFont="1" applyBorder="1" applyAlignment="1">
      <alignment vertical="center"/>
    </xf>
    <xf numFmtId="164" fontId="3" fillId="0" borderId="21" xfId="0" applyNumberFormat="1" applyFont="1" applyBorder="1"/>
    <xf numFmtId="164" fontId="3" fillId="0" borderId="5" xfId="0" applyNumberFormat="1" applyFont="1" applyBorder="1"/>
    <xf numFmtId="0" fontId="3" fillId="0" borderId="5" xfId="0" applyFont="1" applyBorder="1" applyAlignment="1">
      <alignment horizontal="center"/>
    </xf>
    <xf numFmtId="0" fontId="3" fillId="0" borderId="0" xfId="0" applyFont="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wrapText="1"/>
    </xf>
    <xf numFmtId="0" fontId="7" fillId="0" borderId="0" xfId="0" applyFont="1" applyAlignment="1">
      <alignment vertical="center"/>
    </xf>
    <xf numFmtId="0" fontId="7" fillId="0" borderId="0" xfId="0" applyFont="1"/>
    <xf numFmtId="0" fontId="10" fillId="0" borderId="3" xfId="0" applyFont="1" applyBorder="1" applyAlignment="1">
      <alignment horizontal="left" vertical="center" wrapText="1"/>
    </xf>
    <xf numFmtId="0" fontId="10" fillId="0" borderId="23" xfId="0" applyFont="1" applyBorder="1" applyAlignment="1">
      <alignment vertical="center"/>
    </xf>
    <xf numFmtId="0" fontId="10" fillId="0" borderId="3" xfId="0" applyFont="1" applyBorder="1" applyAlignment="1">
      <alignment vertical="center" wrapText="1"/>
    </xf>
    <xf numFmtId="0" fontId="15" fillId="0" borderId="0" xfId="0" applyFont="1" applyAlignment="1">
      <alignment vertical="center"/>
    </xf>
    <xf numFmtId="0" fontId="15" fillId="0" borderId="0" xfId="0" applyFont="1" applyAlignment="1">
      <alignment horizontal="left" vertical="center"/>
    </xf>
    <xf numFmtId="0" fontId="5" fillId="0" borderId="0" xfId="0" applyFont="1" applyAlignment="1">
      <alignment wrapText="1"/>
    </xf>
    <xf numFmtId="164" fontId="5" fillId="0" borderId="0" xfId="0" applyNumberFormat="1" applyFont="1"/>
    <xf numFmtId="0" fontId="3" fillId="0" borderId="0" xfId="0" applyFont="1" applyAlignment="1">
      <alignment horizontal="left"/>
    </xf>
    <xf numFmtId="10" fontId="5" fillId="0" borderId="0" xfId="0" applyNumberFormat="1" applyFont="1" applyAlignment="1">
      <alignment horizontal="center"/>
    </xf>
    <xf numFmtId="0" fontId="3" fillId="0" borderId="3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46051</xdr:colOff>
      <xdr:row>0</xdr:row>
      <xdr:rowOff>150317</xdr:rowOff>
    </xdr:from>
    <xdr:to>
      <xdr:col>13</xdr:col>
      <xdr:colOff>43790</xdr:colOff>
      <xdr:row>17</xdr:row>
      <xdr:rowOff>148912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FormatPr defaultRowHeight="15" outlineLevelRow="0" outlineLevelCol="0" x14ac:dyDescent="55"/>
  <cols>
    <col min="1" max="1" width="13.571428571428571" customWidth="1"/>
    <col min="2" max="2" width="9.857142857142858" customWidth="1"/>
    <col min="3" max="4" width="20.285714285714285" customWidth="1"/>
    <col min="5" max="5" width="11.571428571428571" customWidth="1"/>
    <col min="6" max="24" width="13.571428571428571" customWidth="1"/>
  </cols>
  <sheetData>
    <row r="1" ht="8.25" customHeight="1" x14ac:dyDescent="0.25"/>
    <row r="2" ht="27" customHeight="1" spans="2:13" x14ac:dyDescent="0.25">
      <c r="B2" s="1" t="s">
        <v>0</v>
      </c>
      <c r="C2" s="1"/>
      <c r="D2" s="1"/>
      <c r="E2" s="1"/>
      <c r="F2" s="1"/>
      <c r="G2" s="1"/>
      <c r="H2" s="1"/>
      <c r="I2" s="1"/>
      <c r="J2" s="1"/>
      <c r="K2" s="1"/>
      <c r="L2" s="1"/>
      <c r="M2" s="1"/>
    </row>
    <row r="4" ht="23.25" customHeight="1" spans="1:13" x14ac:dyDescent="0.25">
      <c r="A4" s="2"/>
      <c r="B4" s="3" t="s">
        <v>1</v>
      </c>
      <c r="C4" s="3"/>
      <c r="D4" s="3"/>
      <c r="E4" s="3"/>
      <c r="F4" s="3"/>
      <c r="G4" s="3"/>
      <c r="H4" s="3"/>
      <c r="I4" s="3"/>
      <c r="J4" s="3"/>
      <c r="K4" s="3"/>
      <c r="L4" s="3"/>
      <c r="M4" s="3"/>
    </row>
    <row r="5" ht="23.25" customHeight="1" spans="1:13" x14ac:dyDescent="0.25">
      <c r="A5" s="2"/>
      <c r="B5" s="3"/>
      <c r="C5" s="3"/>
      <c r="D5" s="3"/>
      <c r="E5" s="3"/>
      <c r="F5" s="3"/>
      <c r="G5" s="3"/>
      <c r="H5" s="3"/>
      <c r="I5" s="3"/>
      <c r="J5" s="3"/>
      <c r="K5" s="3"/>
      <c r="L5" s="3"/>
      <c r="M5" s="3"/>
    </row>
    <row r="6" ht="23.25" customHeight="1" spans="1:13" x14ac:dyDescent="0.25">
      <c r="A6" s="2"/>
      <c r="B6" s="3"/>
      <c r="C6" s="3"/>
      <c r="D6" s="3"/>
      <c r="E6" s="3"/>
      <c r="F6" s="3"/>
      <c r="G6" s="3"/>
      <c r="H6" s="3"/>
      <c r="I6" s="3"/>
      <c r="J6" s="3"/>
      <c r="K6" s="3"/>
      <c r="L6" s="3"/>
      <c r="M6" s="3"/>
    </row>
    <row r="7" ht="23.25" customHeight="1" spans="1:13" x14ac:dyDescent="0.25">
      <c r="A7" s="2"/>
      <c r="B7" s="3"/>
      <c r="C7" s="3"/>
      <c r="D7" s="3"/>
      <c r="E7" s="3"/>
      <c r="F7" s="3"/>
      <c r="G7" s="3"/>
      <c r="H7" s="3"/>
      <c r="I7" s="3"/>
      <c r="J7" s="3"/>
      <c r="K7" s="3"/>
      <c r="L7" s="3"/>
      <c r="M7" s="3"/>
    </row>
    <row r="8" ht="36" customHeight="1" spans="1:13" x14ac:dyDescent="0.25">
      <c r="A8" s="2"/>
      <c r="B8" s="3"/>
      <c r="C8" s="3"/>
      <c r="D8" s="3"/>
      <c r="E8" s="3"/>
      <c r="F8" s="3"/>
      <c r="G8" s="3"/>
      <c r="H8" s="3"/>
      <c r="I8" s="3"/>
      <c r="J8" s="3"/>
      <c r="K8" s="3"/>
      <c r="L8" s="3"/>
      <c r="M8" s="3"/>
    </row>
    <row r="9" ht="23.25" customHeight="1" spans="1:9" x14ac:dyDescent="0.25">
      <c r="A9" s="2"/>
      <c r="B9" s="2"/>
      <c r="C9" s="2"/>
      <c r="D9" s="2"/>
      <c r="E9" s="2"/>
      <c r="F9" s="2"/>
      <c r="G9" s="2"/>
      <c r="H9" s="2"/>
      <c r="I9" s="2"/>
    </row>
    <row r="10" ht="19.5" customHeight="1" spans="1:9" x14ac:dyDescent="0.25">
      <c r="A10" s="2"/>
      <c r="B10" s="4" t="s">
        <v>2</v>
      </c>
      <c r="C10" s="4"/>
      <c r="D10" s="4"/>
      <c r="E10" s="4"/>
      <c r="F10" s="2"/>
      <c r="G10" s="2"/>
      <c r="H10" s="2"/>
      <c r="I10" s="2"/>
    </row>
    <row r="11" ht="18" customHeight="1" spans="1:9" x14ac:dyDescent="0.25">
      <c r="A11" s="2"/>
      <c r="B11" s="4"/>
      <c r="C11" s="4"/>
      <c r="D11" s="4"/>
      <c r="E11" s="4"/>
      <c r="F11" s="2"/>
      <c r="G11" s="2"/>
      <c r="H11" s="2"/>
      <c r="I11" s="2"/>
    </row>
    <row r="12" ht="14.25" customHeight="1" spans="1:9" x14ac:dyDescent="0.25">
      <c r="A12" s="2"/>
      <c r="B12" s="4"/>
      <c r="C12" s="4"/>
      <c r="D12" s="4"/>
      <c r="E12" s="4"/>
      <c r="F12" s="2"/>
      <c r="G12" s="2"/>
      <c r="H12" s="2"/>
      <c r="I12" s="2"/>
    </row>
    <row r="14" ht="19.5" customHeight="1" spans="2:5" x14ac:dyDescent="0.25">
      <c r="B14" t="s">
        <v>3</v>
      </c>
      <c r="C14" t="s">
        <v>4</v>
      </c>
      <c r="D14" t="s">
        <v>5</v>
      </c>
      <c r="E14" t="s">
        <v>6</v>
      </c>
    </row>
    <row r="15" ht="19.5" customHeight="1" spans="2:5" x14ac:dyDescent="0.25">
      <c r="B15" t="s">
        <v>7</v>
      </c>
      <c r="C15" t="s">
        <v>8</v>
      </c>
      <c r="D15" t="s">
        <v>8</v>
      </c>
      <c r="E15" s="5" t="s">
        <v>9</v>
      </c>
    </row>
    <row r="16" ht="19.5" customHeight="1" spans="2:5" x14ac:dyDescent="0.25">
      <c r="B16" t="s">
        <v>10</v>
      </c>
      <c r="C16" t="s">
        <v>11</v>
      </c>
      <c r="D16" t="s">
        <v>11</v>
      </c>
      <c r="E16" s="5" t="s">
        <v>9</v>
      </c>
    </row>
    <row r="17" ht="19.5" customHeight="1" spans="2:5" x14ac:dyDescent="0.25">
      <c r="B17" t="s">
        <v>12</v>
      </c>
      <c r="C17" t="s">
        <v>13</v>
      </c>
      <c r="D17" t="s">
        <v>14</v>
      </c>
      <c r="E17" s="5"/>
    </row>
    <row r="18" ht="19.5" customHeight="1" spans="2:5" x14ac:dyDescent="0.25">
      <c r="B18" t="s">
        <v>15</v>
      </c>
      <c r="C18" t="s">
        <v>16</v>
      </c>
      <c r="D18" t="s">
        <v>14</v>
      </c>
      <c r="E18" s="5"/>
    </row>
    <row r="19" ht="19.5" customHeight="1" spans="2:5" x14ac:dyDescent="0.25">
      <c r="B19" t="s">
        <v>17</v>
      </c>
      <c r="C19" t="s">
        <v>18</v>
      </c>
      <c r="D19" t="s">
        <v>19</v>
      </c>
      <c r="E19" s="5"/>
    </row>
    <row r="20" ht="19.5" customHeight="1" spans="2:5" x14ac:dyDescent="0.25">
      <c r="B20" t="s">
        <v>20</v>
      </c>
      <c r="C20" t="s">
        <v>21</v>
      </c>
      <c r="D20" t="s">
        <v>19</v>
      </c>
      <c r="E20" s="5"/>
    </row>
    <row r="21" ht="19.5" customHeight="1" spans="2:5" x14ac:dyDescent="0.25">
      <c r="B21" t="s">
        <v>22</v>
      </c>
      <c r="C21" t="s">
        <v>23</v>
      </c>
      <c r="D21" t="s">
        <v>24</v>
      </c>
      <c r="E21" s="5" t="s">
        <v>25</v>
      </c>
    </row>
    <row r="22" ht="19.5" customHeight="1" spans="2:5" x14ac:dyDescent="0.25">
      <c r="B22" t="s">
        <v>26</v>
      </c>
      <c r="C22" t="s">
        <v>27</v>
      </c>
      <c r="D22" t="s">
        <v>24</v>
      </c>
      <c r="E22" s="5" t="s">
        <v>25</v>
      </c>
    </row>
    <row r="23" ht="19.5" customHeight="1" spans="2:5" x14ac:dyDescent="0.25">
      <c r="B23" t="s">
        <v>28</v>
      </c>
      <c r="C23" t="s">
        <v>29</v>
      </c>
      <c r="D23" t="s">
        <v>30</v>
      </c>
      <c r="E23" s="5" t="s">
        <v>9</v>
      </c>
    </row>
    <row r="24" ht="19.5" customHeight="1" spans="2:5" x14ac:dyDescent="0.25">
      <c r="B24" t="s">
        <v>31</v>
      </c>
      <c r="C24" t="s">
        <v>32</v>
      </c>
      <c r="D24" t="s">
        <v>30</v>
      </c>
      <c r="E24" s="5" t="s">
        <v>9</v>
      </c>
    </row>
  </sheetData>
  <mergeCells count="3">
    <mergeCell ref="B2:M2"/>
    <mergeCell ref="B4:M8"/>
    <mergeCell ref="B10:E1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cols>
    <col min="1" max="24" width="13.571428571428571" customWidth="1"/>
  </cols>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1"/>
  <sheetFormatPr defaultRowHeight="15" outlineLevelRow="0" outlineLevelCol="0" x14ac:dyDescent="55"/>
  <cols>
    <col min="1" max="1" width="9.285714285714286" customWidth="1"/>
    <col min="2" max="2" width="10.857142857142858" customWidth="1"/>
    <col min="3" max="3" width="11.142857142857142" customWidth="1"/>
    <col min="4" max="4" width="12.571428571428571" customWidth="1"/>
    <col min="5" max="9" width="13.571428571428571" customWidth="1"/>
    <col min="10" max="10" width="10.714285714285714" customWidth="1"/>
    <col min="11" max="11" width="11.428571428571429" customWidth="1"/>
    <col min="12" max="12" width="11.142857142857142" customWidth="1"/>
    <col min="13" max="24" width="13.571428571428571" customWidth="1"/>
  </cols>
  <sheetData>
    <row r="2" ht="28.5" customHeight="1" spans="2:4" x14ac:dyDescent="0.25">
      <c r="B2" s="6" t="s">
        <v>33</v>
      </c>
      <c r="C2" s="6"/>
      <c r="D2" s="6"/>
    </row>
    <row r="3" ht="30" customHeight="1" spans="2:12" x14ac:dyDescent="0.25">
      <c r="B3" s="7" t="s">
        <v>34</v>
      </c>
      <c r="C3" s="8" t="s">
        <v>35</v>
      </c>
      <c r="D3" s="7" t="s">
        <v>36</v>
      </c>
      <c r="J3" s="9" t="s">
        <v>37</v>
      </c>
      <c r="K3" s="9"/>
      <c r="L3" s="9"/>
    </row>
    <row r="4" spans="2:16" x14ac:dyDescent="0.25">
      <c r="B4" s="10" t="s">
        <v>38</v>
      </c>
      <c r="C4" s="11">
        <v>0.71</v>
      </c>
      <c r="D4" s="12"/>
      <c r="G4" s="13" t="s">
        <v>39</v>
      </c>
      <c r="H4" s="14">
        <v>0.7</v>
      </c>
      <c r="J4" s="15"/>
      <c r="O4" s="13" t="s">
        <v>40</v>
      </c>
      <c r="P4" s="16">
        <v>65</v>
      </c>
    </row>
    <row r="5" spans="2:12" x14ac:dyDescent="0.25">
      <c r="B5" s="10" t="s">
        <v>41</v>
      </c>
      <c r="C5" s="11">
        <v>0.56</v>
      </c>
      <c r="D5" s="12"/>
      <c r="J5" s="7" t="s">
        <v>42</v>
      </c>
      <c r="K5" s="7" t="s">
        <v>43</v>
      </c>
      <c r="L5" s="7" t="s">
        <v>44</v>
      </c>
    </row>
    <row r="6" spans="2:12" x14ac:dyDescent="0.25">
      <c r="B6" s="10" t="s">
        <v>45</v>
      </c>
      <c r="C6" s="11">
        <v>0.99</v>
      </c>
      <c r="D6" s="12"/>
      <c r="J6" s="10" t="s">
        <v>46</v>
      </c>
      <c r="K6" s="17">
        <v>58</v>
      </c>
      <c r="L6" s="12"/>
    </row>
    <row r="7" spans="2:12" x14ac:dyDescent="0.25">
      <c r="B7" s="10" t="s">
        <v>47</v>
      </c>
      <c r="C7" s="11">
        <v>0.25</v>
      </c>
      <c r="D7" s="12"/>
      <c r="J7" s="10" t="s">
        <v>48</v>
      </c>
      <c r="K7" s="17">
        <v>75</v>
      </c>
      <c r="L7" s="12"/>
    </row>
    <row r="8" spans="2:12" x14ac:dyDescent="0.25">
      <c r="B8" s="10" t="s">
        <v>49</v>
      </c>
      <c r="C8" s="11">
        <v>0.94</v>
      </c>
      <c r="D8" s="12"/>
      <c r="J8" s="10" t="s">
        <v>50</v>
      </c>
      <c r="K8" s="17">
        <v>62</v>
      </c>
      <c r="L8" s="12"/>
    </row>
    <row r="9" spans="2:12" x14ac:dyDescent="0.25">
      <c r="B9" s="10" t="s">
        <v>51</v>
      </c>
      <c r="C9" s="11">
        <v>0.85</v>
      </c>
      <c r="D9" s="12"/>
      <c r="J9" s="10" t="s">
        <v>52</v>
      </c>
      <c r="K9" s="17">
        <v>25</v>
      </c>
      <c r="L9" s="12"/>
    </row>
    <row r="10" spans="2:12" x14ac:dyDescent="0.25">
      <c r="B10" s="10" t="s">
        <v>53</v>
      </c>
      <c r="C10" s="11">
        <v>0.75</v>
      </c>
      <c r="D10" s="12"/>
      <c r="J10" s="10" t="s">
        <v>54</v>
      </c>
      <c r="K10" s="17">
        <v>82</v>
      </c>
      <c r="L10" s="12"/>
    </row>
    <row r="11" spans="2:12" x14ac:dyDescent="0.25">
      <c r="B11" s="10" t="s">
        <v>55</v>
      </c>
      <c r="C11" s="11">
        <v>0.62</v>
      </c>
      <c r="D11" s="12"/>
      <c r="J11" s="10" t="s">
        <v>56</v>
      </c>
      <c r="K11" s="17">
        <v>75</v>
      </c>
      <c r="L11" s="12"/>
    </row>
    <row r="12" spans="2:12" x14ac:dyDescent="0.25">
      <c r="B12" s="10" t="s">
        <v>57</v>
      </c>
      <c r="C12" s="11">
        <v>0.82</v>
      </c>
      <c r="D12" s="12"/>
      <c r="J12" s="10" t="s">
        <v>58</v>
      </c>
      <c r="K12" s="17">
        <v>71</v>
      </c>
      <c r="L12" s="12"/>
    </row>
    <row r="13" spans="2:4" x14ac:dyDescent="0.25">
      <c r="B13" s="10" t="s">
        <v>59</v>
      </c>
      <c r="C13" s="11">
        <v>0.79</v>
      </c>
      <c r="D13" s="12"/>
    </row>
    <row r="14" ht="14.25" customHeight="1" spans="2:4" x14ac:dyDescent="0.25">
      <c r="B14" s="10" t="s">
        <v>60</v>
      </c>
      <c r="C14" s="11">
        <v>0.87</v>
      </c>
      <c r="D14" s="12"/>
    </row>
    <row r="15" ht="15.75" customHeight="1" x14ac:dyDescent="0.25"/>
    <row r="16" ht="53.25" customHeight="1" spans="2:16" x14ac:dyDescent="0.25">
      <c r="B16" s="18" t="s">
        <v>61</v>
      </c>
      <c r="C16" s="18"/>
      <c r="D16" s="18"/>
      <c r="E16" s="18"/>
      <c r="F16" s="18"/>
      <c r="G16" s="18"/>
      <c r="H16" s="18"/>
      <c r="J16" s="18" t="s">
        <v>62</v>
      </c>
      <c r="K16" s="18"/>
      <c r="L16" s="18"/>
      <c r="M16" s="18"/>
      <c r="N16" s="18"/>
      <c r="O16" s="18"/>
      <c r="P16" s="18"/>
    </row>
    <row r="19" ht="18.75" customHeight="1" spans="2:12" x14ac:dyDescent="0.25">
      <c r="B19" s="19" t="s">
        <v>63</v>
      </c>
      <c r="C19" s="19"/>
      <c r="D19" s="19"/>
      <c r="J19" s="19" t="s">
        <v>63</v>
      </c>
      <c r="K19" s="19"/>
      <c r="L19" s="19"/>
    </row>
    <row r="20" ht="30" customHeight="1" spans="2:12" x14ac:dyDescent="0.25">
      <c r="B20" s="20" t="s">
        <v>34</v>
      </c>
      <c r="C20" s="21" t="s">
        <v>35</v>
      </c>
      <c r="D20" s="21" t="s">
        <v>36</v>
      </c>
      <c r="J20" s="5" t="s">
        <v>42</v>
      </c>
      <c r="K20" s="5" t="s">
        <v>64</v>
      </c>
      <c r="L20" s="5" t="s">
        <v>44</v>
      </c>
    </row>
    <row r="21" spans="2:12" x14ac:dyDescent="0.25">
      <c r="B21" t="s">
        <v>38</v>
      </c>
      <c r="C21" s="14">
        <v>0.71</v>
      </c>
      <c r="D21" t="s">
        <v>65</v>
      </c>
      <c r="J21" t="s">
        <v>46</v>
      </c>
      <c r="K21">
        <v>58</v>
      </c>
      <c r="L21" t="s">
        <v>66</v>
      </c>
    </row>
    <row r="22" spans="2:12" x14ac:dyDescent="0.25">
      <c r="B22" t="s">
        <v>41</v>
      </c>
      <c r="C22" s="14">
        <v>0.56</v>
      </c>
      <c r="D22" t="s">
        <v>67</v>
      </c>
      <c r="J22" t="s">
        <v>48</v>
      </c>
      <c r="K22">
        <v>75</v>
      </c>
      <c r="L22" t="s">
        <v>68</v>
      </c>
    </row>
    <row r="23" spans="2:12" x14ac:dyDescent="0.25">
      <c r="B23" t="s">
        <v>45</v>
      </c>
      <c r="C23" s="14">
        <v>0.99</v>
      </c>
      <c r="D23" t="s">
        <v>65</v>
      </c>
      <c r="J23" t="s">
        <v>50</v>
      </c>
      <c r="K23">
        <v>62</v>
      </c>
      <c r="L23" t="s">
        <v>66</v>
      </c>
    </row>
    <row r="24" spans="2:12" x14ac:dyDescent="0.25">
      <c r="B24" t="s">
        <v>47</v>
      </c>
      <c r="C24" s="14">
        <v>0.25</v>
      </c>
      <c r="D24" t="s">
        <v>67</v>
      </c>
      <c r="J24" t="s">
        <v>52</v>
      </c>
      <c r="K24">
        <v>25</v>
      </c>
      <c r="L24" t="s">
        <v>66</v>
      </c>
    </row>
    <row r="25" spans="2:12" x14ac:dyDescent="0.25">
      <c r="B25" t="s">
        <v>49</v>
      </c>
      <c r="C25" s="14">
        <v>0.94</v>
      </c>
      <c r="D25" t="s">
        <v>65</v>
      </c>
      <c r="J25" t="s">
        <v>54</v>
      </c>
      <c r="K25">
        <v>82</v>
      </c>
      <c r="L25" t="s">
        <v>68</v>
      </c>
    </row>
    <row r="26" spans="2:12" x14ac:dyDescent="0.25">
      <c r="B26" t="s">
        <v>51</v>
      </c>
      <c r="C26" s="14">
        <v>0.85</v>
      </c>
      <c r="D26" t="s">
        <v>65</v>
      </c>
      <c r="J26" t="s">
        <v>56</v>
      </c>
      <c r="K26">
        <v>75</v>
      </c>
      <c r="L26" t="s">
        <v>68</v>
      </c>
    </row>
    <row r="27" spans="2:12" x14ac:dyDescent="0.25">
      <c r="B27" t="s">
        <v>53</v>
      </c>
      <c r="C27" s="14">
        <v>0.75</v>
      </c>
      <c r="D27" t="s">
        <v>65</v>
      </c>
      <c r="J27" t="s">
        <v>58</v>
      </c>
      <c r="K27">
        <v>71</v>
      </c>
      <c r="L27" t="s">
        <v>68</v>
      </c>
    </row>
    <row r="28" spans="2:4" x14ac:dyDescent="0.25">
      <c r="B28" t="s">
        <v>55</v>
      </c>
      <c r="C28" s="14">
        <v>0.62</v>
      </c>
      <c r="D28" t="s">
        <v>67</v>
      </c>
    </row>
    <row r="29" spans="2:4" x14ac:dyDescent="0.25">
      <c r="B29" t="s">
        <v>57</v>
      </c>
      <c r="C29" s="14">
        <v>0.82</v>
      </c>
      <c r="D29" t="s">
        <v>65</v>
      </c>
    </row>
    <row r="30" spans="2:4" x14ac:dyDescent="0.25">
      <c r="B30" t="s">
        <v>59</v>
      </c>
      <c r="C30" s="14">
        <v>0.79</v>
      </c>
      <c r="D30" t="s">
        <v>65</v>
      </c>
    </row>
    <row r="31" spans="2:4" x14ac:dyDescent="0.25">
      <c r="B31" t="s">
        <v>60</v>
      </c>
      <c r="C31" s="14">
        <v>0.87</v>
      </c>
      <c r="D31" t="s">
        <v>65</v>
      </c>
    </row>
  </sheetData>
  <mergeCells count="6">
    <mergeCell ref="B2:D2"/>
    <mergeCell ref="J3:L3"/>
    <mergeCell ref="B16:H16"/>
    <mergeCell ref="J16:P16"/>
    <mergeCell ref="B19:D19"/>
    <mergeCell ref="J19:L19"/>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5"/>
  <sheetFormatPr defaultRowHeight="15" outlineLevelRow="0" outlineLevelCol="0" x14ac:dyDescent="55"/>
  <cols>
    <col min="1" max="1" width="9.285714285714286" customWidth="1"/>
    <col min="2" max="2" width="13.571428571428571" customWidth="1"/>
    <col min="3" max="3" width="12.857142857142858" customWidth="1"/>
    <col min="4" max="4" width="14" customWidth="1"/>
    <col min="5" max="6" width="13.571428571428571" customWidth="1"/>
    <col min="7" max="7" width="9.285714285714286" customWidth="1"/>
    <col min="8" max="9" width="13.571428571428571" customWidth="1"/>
    <col min="10" max="10" width="11" customWidth="1"/>
    <col min="11" max="24" width="13.571428571428571" customWidth="1"/>
  </cols>
  <sheetData>
    <row r="2" ht="18.75" customHeight="1" spans="2:14" x14ac:dyDescent="0.25">
      <c r="B2" s="22" t="s">
        <v>69</v>
      </c>
      <c r="F2" s="13" t="s">
        <v>70</v>
      </c>
      <c r="G2" s="16">
        <v>40</v>
      </c>
      <c r="I2" s="22" t="s">
        <v>71</v>
      </c>
      <c r="M2" s="13" t="s">
        <v>72</v>
      </c>
      <c r="N2" s="23">
        <v>5500</v>
      </c>
    </row>
    <row r="3" ht="45" customHeight="1" spans="2:11" x14ac:dyDescent="0.25">
      <c r="B3" s="7" t="s">
        <v>34</v>
      </c>
      <c r="C3" s="7" t="s">
        <v>73</v>
      </c>
      <c r="D3" s="8" t="s">
        <v>74</v>
      </c>
      <c r="I3" s="7" t="s">
        <v>75</v>
      </c>
      <c r="J3" s="7" t="s">
        <v>76</v>
      </c>
      <c r="K3" s="8" t="s">
        <v>77</v>
      </c>
    </row>
    <row r="4" spans="2:11" x14ac:dyDescent="0.25">
      <c r="B4" s="10" t="s">
        <v>78</v>
      </c>
      <c r="C4" s="17">
        <v>45</v>
      </c>
      <c r="D4" s="12"/>
      <c r="I4" s="10" t="s">
        <v>78</v>
      </c>
      <c r="J4" s="24">
        <v>5200</v>
      </c>
      <c r="K4" s="25"/>
    </row>
    <row r="5" spans="2:11" x14ac:dyDescent="0.25">
      <c r="B5" s="10" t="s">
        <v>53</v>
      </c>
      <c r="C5" s="17">
        <v>35</v>
      </c>
      <c r="D5" s="12"/>
      <c r="I5" s="10" t="s">
        <v>53</v>
      </c>
      <c r="J5" s="24">
        <v>1200</v>
      </c>
      <c r="K5" s="25"/>
    </row>
    <row r="6" spans="2:11" x14ac:dyDescent="0.25">
      <c r="B6" s="10" t="s">
        <v>79</v>
      </c>
      <c r="C6" s="17">
        <v>40</v>
      </c>
      <c r="D6" s="12"/>
      <c r="I6" s="10" t="s">
        <v>79</v>
      </c>
      <c r="J6" s="24">
        <v>5500</v>
      </c>
      <c r="K6" s="25"/>
    </row>
    <row r="7" spans="2:11" x14ac:dyDescent="0.25">
      <c r="B7" s="10" t="s">
        <v>38</v>
      </c>
      <c r="C7" s="17">
        <v>39</v>
      </c>
      <c r="D7" s="12"/>
      <c r="I7" s="10" t="s">
        <v>38</v>
      </c>
      <c r="J7" s="24">
        <v>6500</v>
      </c>
      <c r="K7" s="25"/>
    </row>
    <row r="8" spans="2:11" x14ac:dyDescent="0.25">
      <c r="B8" s="10" t="s">
        <v>51</v>
      </c>
      <c r="C8" s="17">
        <v>25</v>
      </c>
      <c r="D8" s="12"/>
      <c r="I8" s="10" t="s">
        <v>51</v>
      </c>
      <c r="J8" s="24">
        <v>25000</v>
      </c>
      <c r="K8" s="25"/>
    </row>
    <row r="9" spans="2:11" x14ac:dyDescent="0.25">
      <c r="B9" s="10" t="s">
        <v>47</v>
      </c>
      <c r="C9" s="17">
        <v>15</v>
      </c>
      <c r="D9" s="12"/>
      <c r="I9" s="10" t="s">
        <v>47</v>
      </c>
      <c r="J9" s="24">
        <v>15000</v>
      </c>
      <c r="K9" s="25"/>
    </row>
    <row r="10" spans="2:11" x14ac:dyDescent="0.25">
      <c r="B10" s="10" t="s">
        <v>80</v>
      </c>
      <c r="C10" s="17">
        <v>65</v>
      </c>
      <c r="D10" s="12"/>
      <c r="I10" s="10" t="s">
        <v>80</v>
      </c>
      <c r="J10" s="24">
        <v>6549</v>
      </c>
      <c r="K10" s="25"/>
    </row>
    <row r="11" ht="15.75" customHeight="1" x14ac:dyDescent="0.25"/>
    <row r="12" ht="17.25" customHeight="1" spans="2:14" x14ac:dyDescent="0.25">
      <c r="B12" s="26" t="s">
        <v>81</v>
      </c>
      <c r="C12" s="26"/>
      <c r="D12" s="26"/>
      <c r="E12" s="26"/>
      <c r="F12" s="26"/>
      <c r="G12" s="27"/>
      <c r="I12" s="26" t="s">
        <v>82</v>
      </c>
      <c r="J12" s="26"/>
      <c r="K12" s="26"/>
      <c r="L12" s="26"/>
      <c r="M12" s="26"/>
      <c r="N12" s="26"/>
    </row>
    <row r="13" ht="17.25" customHeight="1" spans="2:14" x14ac:dyDescent="0.25">
      <c r="B13" s="26"/>
      <c r="C13" s="26"/>
      <c r="D13" s="26"/>
      <c r="E13" s="26"/>
      <c r="F13" s="26"/>
      <c r="G13" s="27"/>
      <c r="I13" s="26"/>
      <c r="J13" s="26"/>
      <c r="K13" s="26"/>
      <c r="L13" s="26"/>
      <c r="M13" s="26"/>
      <c r="N13" s="26"/>
    </row>
    <row r="14" ht="17.25" customHeight="1" spans="2:14" x14ac:dyDescent="0.25">
      <c r="B14" s="26"/>
      <c r="C14" s="26"/>
      <c r="D14" s="26"/>
      <c r="E14" s="26"/>
      <c r="F14" s="26"/>
      <c r="G14" s="27"/>
      <c r="I14" s="26"/>
      <c r="J14" s="26"/>
      <c r="K14" s="26"/>
      <c r="L14" s="26"/>
      <c r="M14" s="26"/>
      <c r="N14" s="26"/>
    </row>
    <row r="15" spans="9:9" x14ac:dyDescent="0.25">
      <c r="I15" s="28" t="s">
        <v>83</v>
      </c>
    </row>
    <row r="17" ht="18.75" customHeight="1" spans="2:11" x14ac:dyDescent="0.25">
      <c r="B17" s="19" t="s">
        <v>63</v>
      </c>
      <c r="C17" s="19"/>
      <c r="D17" s="19"/>
      <c r="I17" s="19" t="s">
        <v>63</v>
      </c>
      <c r="J17" s="19"/>
      <c r="K17" s="19"/>
    </row>
    <row r="18" ht="45" customHeight="1" spans="2:11" x14ac:dyDescent="0.25">
      <c r="B18" s="5" t="s">
        <v>34</v>
      </c>
      <c r="C18" s="5" t="s">
        <v>73</v>
      </c>
      <c r="D18" s="29" t="s">
        <v>74</v>
      </c>
      <c r="I18" s="5" t="s">
        <v>75</v>
      </c>
      <c r="J18" s="30" t="s">
        <v>76</v>
      </c>
      <c r="K18" s="5" t="s">
        <v>77</v>
      </c>
    </row>
    <row r="19" spans="2:11" x14ac:dyDescent="0.25">
      <c r="B19" t="s">
        <v>78</v>
      </c>
      <c r="C19">
        <v>45</v>
      </c>
      <c r="D19" t="s">
        <v>84</v>
      </c>
      <c r="I19" t="s">
        <v>78</v>
      </c>
      <c r="J19" s="23">
        <v>5200</v>
      </c>
      <c r="K19" s="31">
        <v>10400</v>
      </c>
    </row>
    <row r="20" spans="2:11" x14ac:dyDescent="0.25">
      <c r="B20" t="s">
        <v>53</v>
      </c>
      <c r="C20">
        <v>35</v>
      </c>
      <c r="D20" t="s">
        <v>85</v>
      </c>
      <c r="I20" t="s">
        <v>53</v>
      </c>
      <c r="J20" s="23">
        <v>1200</v>
      </c>
      <c r="K20" s="31">
        <v>2400</v>
      </c>
    </row>
    <row r="21" spans="2:11" x14ac:dyDescent="0.25">
      <c r="B21" t="s">
        <v>79</v>
      </c>
      <c r="C21">
        <v>40</v>
      </c>
      <c r="D21" t="s">
        <v>84</v>
      </c>
      <c r="I21" t="s">
        <v>79</v>
      </c>
      <c r="J21" s="23">
        <v>5500</v>
      </c>
      <c r="K21" s="31">
        <v>11000</v>
      </c>
    </row>
    <row r="22" spans="2:11" x14ac:dyDescent="0.25">
      <c r="B22" t="s">
        <v>38</v>
      </c>
      <c r="C22">
        <v>39</v>
      </c>
      <c r="D22" t="s">
        <v>85</v>
      </c>
      <c r="I22" t="s">
        <v>38</v>
      </c>
      <c r="J22" s="23">
        <v>6500</v>
      </c>
      <c r="K22" s="31">
        <v>19500</v>
      </c>
    </row>
    <row r="23" spans="2:11" x14ac:dyDescent="0.25">
      <c r="B23" t="s">
        <v>51</v>
      </c>
      <c r="C23">
        <v>25</v>
      </c>
      <c r="D23" t="s">
        <v>85</v>
      </c>
      <c r="I23" t="s">
        <v>51</v>
      </c>
      <c r="J23" s="23">
        <v>25000</v>
      </c>
      <c r="K23" s="31">
        <v>75000</v>
      </c>
    </row>
    <row r="24" spans="2:11" x14ac:dyDescent="0.25">
      <c r="B24" t="s">
        <v>47</v>
      </c>
      <c r="C24">
        <v>15</v>
      </c>
      <c r="D24" t="s">
        <v>85</v>
      </c>
      <c r="I24" t="s">
        <v>47</v>
      </c>
      <c r="J24" s="23">
        <v>15000</v>
      </c>
      <c r="K24" s="31">
        <v>45000</v>
      </c>
    </row>
    <row r="25" spans="2:11" x14ac:dyDescent="0.25">
      <c r="B25" t="s">
        <v>80</v>
      </c>
      <c r="C25">
        <v>65</v>
      </c>
      <c r="D25" t="s">
        <v>84</v>
      </c>
      <c r="I25" t="s">
        <v>80</v>
      </c>
      <c r="J25" s="23">
        <v>6549</v>
      </c>
      <c r="K25" s="31">
        <v>19647</v>
      </c>
    </row>
  </sheetData>
  <mergeCells count="4">
    <mergeCell ref="B12:F14"/>
    <mergeCell ref="I12:N14"/>
    <mergeCell ref="B17:D17"/>
    <mergeCell ref="I17:K1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FormatPr defaultRowHeight="15" outlineLevelRow="0" outlineLevelCol="0" x14ac:dyDescent="55"/>
  <cols>
    <col min="1" max="1" width="23.857142857142858" customWidth="1"/>
    <col min="2" max="2" width="12" customWidth="1"/>
    <col min="3" max="3" width="11" customWidth="1"/>
    <col min="4" max="4" width="11.285714285714286" customWidth="1"/>
    <col min="5" max="13" width="9.285714285714286" customWidth="1"/>
    <col min="14" max="24" width="13.571428571428571" customWidth="1"/>
  </cols>
  <sheetData>
    <row r="1" ht="21" customHeight="1" spans="1:4" x14ac:dyDescent="0.25">
      <c r="A1" s="32" t="s">
        <v>86</v>
      </c>
      <c r="B1" s="32"/>
      <c r="C1" s="32"/>
      <c r="D1" s="32"/>
    </row>
    <row r="2" ht="21" customHeight="1" spans="1:4" x14ac:dyDescent="0.25">
      <c r="A2" s="32" t="s">
        <v>87</v>
      </c>
      <c r="B2" s="32"/>
      <c r="C2" s="32"/>
      <c r="D2" s="32"/>
    </row>
    <row r="3" ht="19.5" customHeight="1" spans="1:13" x14ac:dyDescent="0.25">
      <c r="A3" s="33"/>
      <c r="B3" s="33"/>
      <c r="C3" s="33"/>
      <c r="D3" s="33"/>
      <c r="E3" s="34"/>
      <c r="F3" s="34"/>
      <c r="G3" s="34"/>
      <c r="H3" s="34"/>
      <c r="I3" s="34"/>
      <c r="J3" s="34"/>
      <c r="K3" s="34"/>
      <c r="L3" s="34"/>
      <c r="M3" s="34"/>
    </row>
    <row r="4" ht="18.75" customHeight="1" spans="1:4" x14ac:dyDescent="0.25">
      <c r="A4" s="35" t="s">
        <v>88</v>
      </c>
      <c r="B4" s="35"/>
      <c r="C4" s="35"/>
      <c r="D4" s="35"/>
    </row>
    <row r="5" ht="47.25" customHeight="1" spans="1:5" x14ac:dyDescent="0.25">
      <c r="A5" s="36" t="s">
        <v>89</v>
      </c>
      <c r="B5" s="36" t="s">
        <v>90</v>
      </c>
      <c r="C5" s="36" t="s">
        <v>91</v>
      </c>
      <c r="D5" s="36" t="s">
        <v>92</v>
      </c>
      <c r="E5" s="37"/>
    </row>
    <row r="6" spans="1:4" x14ac:dyDescent="0.25">
      <c r="A6" s="38" t="s">
        <v>93</v>
      </c>
      <c r="B6" s="38">
        <v>90</v>
      </c>
      <c r="C6" s="39"/>
      <c r="D6" s="40">
        <f>B6*C6</f>
      </c>
    </row>
    <row r="7" spans="1:4" x14ac:dyDescent="0.25">
      <c r="A7" s="38" t="s">
        <v>94</v>
      </c>
      <c r="B7" s="38">
        <v>75</v>
      </c>
      <c r="C7" s="39"/>
      <c r="D7" s="40">
        <f>B7*C7</f>
      </c>
    </row>
    <row r="8" spans="1:4" x14ac:dyDescent="0.25">
      <c r="A8" s="38" t="s">
        <v>95</v>
      </c>
      <c r="B8" s="38">
        <v>69</v>
      </c>
      <c r="C8" s="39"/>
      <c r="D8" s="40">
        <f>B8*C8</f>
      </c>
    </row>
    <row r="9" ht="15" customHeight="1" spans="1:6" x14ac:dyDescent="0.25">
      <c r="A9" s="38" t="s">
        <v>96</v>
      </c>
      <c r="B9" s="38">
        <v>78</v>
      </c>
      <c r="C9" s="39"/>
      <c r="D9" s="40">
        <f>B9*C9</f>
      </c>
      <c r="E9" s="38"/>
      <c r="F9" s="41"/>
    </row>
    <row r="10" spans="1:4" x14ac:dyDescent="0.25">
      <c r="A10" s="38" t="s">
        <v>97</v>
      </c>
      <c r="B10" s="38">
        <v>100</v>
      </c>
      <c r="C10" s="39"/>
      <c r="D10" s="40">
        <f>B10*C10</f>
      </c>
    </row>
    <row r="11" spans="1:4" x14ac:dyDescent="0.25">
      <c r="A11" s="38" t="s">
        <v>98</v>
      </c>
      <c r="B11" s="38">
        <v>82</v>
      </c>
      <c r="C11" s="39"/>
      <c r="D11" s="40">
        <f>B11*C11</f>
      </c>
    </row>
    <row r="14" ht="18.75" customHeight="1" spans="1:4" x14ac:dyDescent="0.25">
      <c r="A14" s="35" t="s">
        <v>99</v>
      </c>
      <c r="B14" s="35"/>
      <c r="C14" s="35"/>
      <c r="D14" s="35"/>
    </row>
    <row r="15" ht="47.25" customHeight="1" spans="1:5" x14ac:dyDescent="0.25">
      <c r="A15" s="36" t="s">
        <v>89</v>
      </c>
      <c r="B15" s="36" t="s">
        <v>100</v>
      </c>
      <c r="C15" s="36" t="s">
        <v>101</v>
      </c>
      <c r="D15" s="36" t="s">
        <v>91</v>
      </c>
      <c r="E15" s="37"/>
    </row>
    <row r="16" spans="1:4" x14ac:dyDescent="0.25">
      <c r="A16" s="38" t="s">
        <v>95</v>
      </c>
      <c r="B16" s="40">
        <v>8</v>
      </c>
      <c r="C16" s="40">
        <v>17</v>
      </c>
      <c r="D16" s="40">
        <v>20</v>
      </c>
    </row>
    <row r="17" spans="1:4" x14ac:dyDescent="0.25">
      <c r="A17" s="38" t="s">
        <v>96</v>
      </c>
      <c r="B17" s="40">
        <v>5</v>
      </c>
      <c r="C17" s="40">
        <v>14</v>
      </c>
      <c r="D17" s="40">
        <v>17</v>
      </c>
    </row>
    <row r="18" spans="1:4" x14ac:dyDescent="0.25">
      <c r="A18" s="38" t="s">
        <v>97</v>
      </c>
      <c r="B18" s="40">
        <v>10</v>
      </c>
      <c r="C18" s="40">
        <v>20</v>
      </c>
      <c r="D18" s="40">
        <v>23</v>
      </c>
    </row>
    <row r="19" ht="16.5" customHeight="1" spans="1:4" x14ac:dyDescent="0.25">
      <c r="A19" s="38" t="s">
        <v>98</v>
      </c>
      <c r="B19" s="40">
        <v>9</v>
      </c>
      <c r="C19" s="40">
        <v>18</v>
      </c>
      <c r="D19" s="40">
        <v>21</v>
      </c>
    </row>
    <row r="20" ht="16.5" customHeight="1" spans="1:11" x14ac:dyDescent="0.25">
      <c r="A20" s="38" t="s">
        <v>93</v>
      </c>
      <c r="B20" s="40">
        <v>3</v>
      </c>
      <c r="C20" s="40">
        <v>12</v>
      </c>
      <c r="D20" s="40">
        <v>15</v>
      </c>
      <c r="E20" s="38"/>
      <c r="F20" s="38"/>
      <c r="G20" s="42" t="s">
        <v>102</v>
      </c>
      <c r="H20" s="43"/>
      <c r="I20" s="43"/>
      <c r="J20" s="43"/>
      <c r="K20" s="44"/>
    </row>
    <row r="21" spans="1:11" x14ac:dyDescent="0.25">
      <c r="A21" s="38" t="s">
        <v>103</v>
      </c>
      <c r="B21" s="40">
        <v>12</v>
      </c>
      <c r="C21" s="40">
        <v>21</v>
      </c>
      <c r="D21" s="40">
        <v>25</v>
      </c>
      <c r="E21" s="38"/>
      <c r="F21" s="38"/>
      <c r="G21" s="45"/>
      <c r="H21" s="38"/>
      <c r="I21" s="38"/>
      <c r="J21" s="38"/>
      <c r="K21" s="46"/>
    </row>
    <row r="22" spans="1:11" x14ac:dyDescent="0.25">
      <c r="A22" s="38" t="s">
        <v>94</v>
      </c>
      <c r="B22" s="40">
        <v>5</v>
      </c>
      <c r="C22" s="40">
        <v>14</v>
      </c>
      <c r="D22" s="40">
        <v>17</v>
      </c>
      <c r="E22" s="38"/>
      <c r="F22" s="38"/>
      <c r="G22" s="47" t="s">
        <v>94</v>
      </c>
      <c r="H22" s="40"/>
      <c r="I22" s="40"/>
      <c r="J22" s="40">
        <v>17</v>
      </c>
      <c r="K22" s="46"/>
    </row>
    <row r="23" ht="15" customHeight="1" spans="1:11" x14ac:dyDescent="0.25">
      <c r="A23" s="38" t="s">
        <v>104</v>
      </c>
      <c r="B23" s="40">
        <v>9</v>
      </c>
      <c r="C23" s="40">
        <v>18</v>
      </c>
      <c r="D23" s="40">
        <v>20</v>
      </c>
      <c r="E23" s="38"/>
      <c r="F23" s="38"/>
      <c r="G23" s="47" t="s">
        <v>93</v>
      </c>
      <c r="H23" s="48"/>
      <c r="I23" s="40"/>
      <c r="J23" s="40">
        <v>15</v>
      </c>
      <c r="K23" s="46"/>
    </row>
    <row r="24" spans="1:11" x14ac:dyDescent="0.25">
      <c r="A24" s="38" t="s">
        <v>105</v>
      </c>
      <c r="B24" s="40">
        <v>10</v>
      </c>
      <c r="C24" s="40">
        <v>20</v>
      </c>
      <c r="D24" s="40">
        <v>23</v>
      </c>
      <c r="E24" s="38"/>
      <c r="F24" s="38"/>
      <c r="G24" s="47" t="s">
        <v>96</v>
      </c>
      <c r="H24" s="48"/>
      <c r="I24" s="40"/>
      <c r="J24" s="40">
        <v>17</v>
      </c>
      <c r="K24" s="46"/>
    </row>
    <row r="25" spans="1:11" x14ac:dyDescent="0.25">
      <c r="A25" s="38" t="s">
        <v>106</v>
      </c>
      <c r="B25" s="40">
        <v>9</v>
      </c>
      <c r="C25" s="40">
        <v>19</v>
      </c>
      <c r="D25" s="40">
        <v>24</v>
      </c>
      <c r="E25" s="38"/>
      <c r="F25" s="38"/>
      <c r="G25" s="47" t="s">
        <v>95</v>
      </c>
      <c r="H25" s="48"/>
      <c r="I25" s="40"/>
      <c r="J25" s="40">
        <v>20</v>
      </c>
      <c r="K25" s="46"/>
    </row>
    <row r="26" spans="1:11" x14ac:dyDescent="0.25">
      <c r="A26" s="38"/>
      <c r="B26" s="38"/>
      <c r="C26" s="38"/>
      <c r="D26" s="38"/>
      <c r="E26" s="38"/>
      <c r="F26" s="38"/>
      <c r="G26" s="47" t="s">
        <v>98</v>
      </c>
      <c r="H26" s="48"/>
      <c r="I26" s="40"/>
      <c r="J26" s="40">
        <v>21</v>
      </c>
      <c r="K26" s="46"/>
    </row>
    <row r="27" spans="1:11" x14ac:dyDescent="0.25">
      <c r="A27" s="38"/>
      <c r="B27" s="38"/>
      <c r="C27" s="38"/>
      <c r="D27" s="38"/>
      <c r="E27" s="38"/>
      <c r="F27" s="38"/>
      <c r="G27" s="47" t="s">
        <v>97</v>
      </c>
      <c r="H27" s="48"/>
      <c r="I27" s="40"/>
      <c r="J27" s="40">
        <v>23</v>
      </c>
      <c r="K27" s="46"/>
    </row>
    <row r="28" ht="16.5" customHeight="1" spans="1:11" x14ac:dyDescent="0.25">
      <c r="A28" s="38"/>
      <c r="B28" s="38"/>
      <c r="C28" s="38"/>
      <c r="D28" s="38"/>
      <c r="E28" s="38"/>
      <c r="F28" s="38"/>
      <c r="G28" s="49"/>
      <c r="H28" s="50"/>
      <c r="I28" s="50"/>
      <c r="J28" s="51"/>
      <c r="K28" s="52"/>
    </row>
    <row r="29" ht="16.5" customHeight="1" x14ac:dyDescent="0.25"/>
  </sheetData>
  <mergeCells count="5">
    <mergeCell ref="A1:D1"/>
    <mergeCell ref="A2:D2"/>
    <mergeCell ref="A3:D3"/>
    <mergeCell ref="A4:D4"/>
    <mergeCell ref="A14:D1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FormatPr defaultRowHeight="15" outlineLevelRow="0" outlineLevelCol="0" x14ac:dyDescent="55"/>
  <cols>
    <col min="1" max="1" width="13.571428571428571" customWidth="1"/>
    <col min="2" max="2" width="10.857142857142858" customWidth="1"/>
    <col min="3" max="3" width="21" customWidth="1"/>
    <col min="4" max="10" width="13.571428571428571" customWidth="1"/>
    <col min="11" max="11" width="16.714285714285715" customWidth="1"/>
    <col min="12" max="12" width="19.428571428571427" customWidth="1"/>
    <col min="13" max="16" width="13.571428571428571" customWidth="1"/>
    <col min="17" max="17" width="14.285714285714286" customWidth="1"/>
    <col min="18" max="24" width="13.571428571428571" customWidth="1"/>
  </cols>
  <sheetData>
    <row r="1" ht="15.75" customHeight="1" x14ac:dyDescent="0.25"/>
    <row r="2" ht="15.75" customHeight="1" spans="2:18" x14ac:dyDescent="0.25">
      <c r="B2" s="26" t="s">
        <v>107</v>
      </c>
      <c r="C2" s="26"/>
      <c r="D2" s="26"/>
      <c r="E2" s="26"/>
      <c r="F2" s="26"/>
      <c r="G2" s="26"/>
      <c r="H2" s="26"/>
      <c r="I2" s="26"/>
      <c r="K2" s="26" t="s">
        <v>108</v>
      </c>
      <c r="L2" s="26"/>
      <c r="M2" s="26"/>
      <c r="N2" s="26"/>
      <c r="O2" s="26"/>
      <c r="P2" s="26"/>
      <c r="Q2" s="26"/>
      <c r="R2" s="26"/>
    </row>
    <row r="3" ht="14.25" customHeight="1" spans="2:18" x14ac:dyDescent="0.25">
      <c r="B3" s="26"/>
      <c r="C3" s="26"/>
      <c r="D3" s="26"/>
      <c r="E3" s="26"/>
      <c r="F3" s="26"/>
      <c r="G3" s="26"/>
      <c r="H3" s="26"/>
      <c r="I3" s="26"/>
      <c r="K3" s="26"/>
      <c r="L3" s="26"/>
      <c r="M3" s="26"/>
      <c r="N3" s="26"/>
      <c r="O3" s="26"/>
      <c r="P3" s="26"/>
      <c r="Q3" s="26"/>
      <c r="R3" s="26"/>
    </row>
    <row r="4" spans="2:18" x14ac:dyDescent="0.25">
      <c r="B4" s="26"/>
      <c r="C4" s="26"/>
      <c r="D4" s="26"/>
      <c r="E4" s="26"/>
      <c r="F4" s="26"/>
      <c r="G4" s="26"/>
      <c r="H4" s="26"/>
      <c r="I4" s="26"/>
      <c r="K4" s="26"/>
      <c r="L4" s="26"/>
      <c r="M4" s="26"/>
      <c r="N4" s="26"/>
      <c r="O4" s="26"/>
      <c r="P4" s="26"/>
      <c r="Q4" s="26"/>
      <c r="R4" s="26"/>
    </row>
    <row r="5" ht="15.75" customHeight="1" spans="2:18" x14ac:dyDescent="0.25">
      <c r="B5" s="26"/>
      <c r="C5" s="26"/>
      <c r="D5" s="26"/>
      <c r="E5" s="26"/>
      <c r="F5" s="26"/>
      <c r="G5" s="26"/>
      <c r="H5" s="26"/>
      <c r="I5" s="26"/>
      <c r="K5" s="26"/>
      <c r="L5" s="26"/>
      <c r="M5" s="26"/>
      <c r="N5" s="26"/>
      <c r="O5" s="26"/>
      <c r="P5" s="26"/>
      <c r="Q5" s="26"/>
      <c r="R5" s="26"/>
    </row>
    <row r="6" ht="15.75" customHeight="1" x14ac:dyDescent="0.25"/>
    <row r="7" ht="16.5" customHeight="1" spans="1:18" x14ac:dyDescent="0.25">
      <c r="A7" s="53"/>
      <c r="B7" s="54" t="s">
        <v>109</v>
      </c>
      <c r="C7" s="54"/>
      <c r="D7" s="54"/>
      <c r="E7" s="54"/>
      <c r="F7" s="54"/>
      <c r="G7" s="54"/>
      <c r="H7" s="53"/>
      <c r="I7" s="53"/>
      <c r="J7" s="53"/>
      <c r="K7" s="55"/>
      <c r="L7" s="56"/>
      <c r="M7" s="56"/>
      <c r="N7" s="56"/>
      <c r="O7" s="56"/>
      <c r="P7" s="56"/>
      <c r="Q7" s="56"/>
      <c r="R7" s="57"/>
    </row>
    <row r="8" ht="16.5" customHeight="1" spans="1:18" x14ac:dyDescent="0.25">
      <c r="A8" s="53"/>
      <c r="B8" s="54"/>
      <c r="C8" s="54"/>
      <c r="D8" s="54"/>
      <c r="E8" s="54"/>
      <c r="F8" s="54"/>
      <c r="G8" s="54"/>
      <c r="H8" s="53"/>
      <c r="I8" s="53"/>
      <c r="J8" s="53"/>
      <c r="K8" s="58"/>
      <c r="L8" s="59" t="s">
        <v>110</v>
      </c>
      <c r="M8" s="28"/>
      <c r="N8" s="23"/>
      <c r="O8" s="23"/>
      <c r="P8" s="23"/>
      <c r="Q8" s="23"/>
      <c r="R8" s="60"/>
    </row>
    <row r="9" ht="21" customHeight="1" spans="2:18" x14ac:dyDescent="0.25">
      <c r="B9" s="7" t="s">
        <v>111</v>
      </c>
      <c r="C9" s="7" t="s">
        <v>112</v>
      </c>
      <c r="D9" s="7" t="s">
        <v>113</v>
      </c>
      <c r="E9" s="7" t="s">
        <v>114</v>
      </c>
      <c r="F9" s="7" t="s">
        <v>115</v>
      </c>
      <c r="G9" s="61" t="s">
        <v>116</v>
      </c>
      <c r="K9" s="58"/>
      <c r="L9" s="59" t="s">
        <v>117</v>
      </c>
      <c r="M9" s="28"/>
      <c r="N9" s="23"/>
      <c r="O9" s="23"/>
      <c r="P9" s="23"/>
      <c r="Q9" s="23"/>
      <c r="R9" s="60"/>
    </row>
    <row r="10" ht="15.75" customHeight="1" spans="2:18" x14ac:dyDescent="0.25">
      <c r="B10" s="62" t="s">
        <v>118</v>
      </c>
      <c r="C10" s="63" t="s">
        <v>119</v>
      </c>
      <c r="D10" s="64"/>
      <c r="E10" s="64"/>
      <c r="F10" s="64"/>
      <c r="G10" s="63">
        <v>12</v>
      </c>
      <c r="K10" s="58"/>
      <c r="L10" s="59"/>
      <c r="M10" s="28"/>
      <c r="N10" s="23"/>
      <c r="O10" s="23"/>
      <c r="P10" s="23"/>
      <c r="Q10" s="23"/>
      <c r="R10" s="60"/>
    </row>
    <row r="11" ht="15.75" customHeight="1" spans="2:18" x14ac:dyDescent="0.25">
      <c r="B11" s="65" t="s">
        <v>120</v>
      </c>
      <c r="C11" s="66" t="s">
        <v>121</v>
      </c>
      <c r="D11" s="64"/>
      <c r="E11" s="64"/>
      <c r="F11" s="64"/>
      <c r="G11" s="66">
        <v>8</v>
      </c>
      <c r="K11" s="58"/>
      <c r="L11" s="67" t="s">
        <v>122</v>
      </c>
      <c r="M11" s="8" t="s">
        <v>123</v>
      </c>
      <c r="N11" s="68" t="s">
        <v>124</v>
      </c>
      <c r="O11" s="68" t="s">
        <v>125</v>
      </c>
      <c r="P11" s="68" t="s">
        <v>126</v>
      </c>
      <c r="Q11" s="69" t="s">
        <v>127</v>
      </c>
      <c r="R11" s="70"/>
    </row>
    <row r="12" ht="15.75" customHeight="1" spans="2:18" x14ac:dyDescent="0.25">
      <c r="B12" s="65" t="s">
        <v>128</v>
      </c>
      <c r="C12" s="66" t="s">
        <v>129</v>
      </c>
      <c r="D12" s="64"/>
      <c r="E12" s="64"/>
      <c r="F12" s="64"/>
      <c r="G12" s="66">
        <v>7</v>
      </c>
      <c r="K12" s="58"/>
      <c r="L12" s="71" t="s">
        <v>130</v>
      </c>
      <c r="M12" s="72"/>
      <c r="N12" s="73">
        <v>14</v>
      </c>
      <c r="O12" s="73">
        <v>20</v>
      </c>
      <c r="P12" s="73">
        <v>25</v>
      </c>
      <c r="Q12" s="74">
        <f>SUM(N12:P12)</f>
      </c>
      <c r="R12" s="60"/>
    </row>
    <row r="13" ht="15.75" customHeight="1" spans="2:18" x14ac:dyDescent="0.25">
      <c r="B13" s="65" t="s">
        <v>131</v>
      </c>
      <c r="C13" s="66" t="s">
        <v>132</v>
      </c>
      <c r="D13" s="64"/>
      <c r="E13" s="64"/>
      <c r="F13" s="64"/>
      <c r="G13" s="66">
        <v>10</v>
      </c>
      <c r="K13" s="58"/>
      <c r="L13" s="75" t="s">
        <v>133</v>
      </c>
      <c r="M13" s="72"/>
      <c r="N13" s="73">
        <v>14</v>
      </c>
      <c r="O13" s="73">
        <v>10</v>
      </c>
      <c r="P13" s="73">
        <v>10</v>
      </c>
      <c r="Q13" s="74">
        <f>SUM(N13:P13)</f>
      </c>
      <c r="R13" s="60"/>
    </row>
    <row r="14" ht="15.75" customHeight="1" spans="2:18" x14ac:dyDescent="0.25">
      <c r="B14" s="65" t="s">
        <v>134</v>
      </c>
      <c r="C14" s="66" t="s">
        <v>135</v>
      </c>
      <c r="D14" s="64"/>
      <c r="E14" s="64"/>
      <c r="F14" s="64"/>
      <c r="G14" s="66">
        <v>5</v>
      </c>
      <c r="K14" s="58"/>
      <c r="L14" s="71" t="s">
        <v>136</v>
      </c>
      <c r="M14" s="72"/>
      <c r="N14" s="73">
        <v>10</v>
      </c>
      <c r="O14" s="73">
        <v>29</v>
      </c>
      <c r="P14" s="73">
        <v>24</v>
      </c>
      <c r="Q14" s="74">
        <f>SUM(N14:P14)</f>
      </c>
      <c r="R14" s="60"/>
    </row>
    <row r="15" ht="15.75" customHeight="1" spans="2:18" x14ac:dyDescent="0.25">
      <c r="B15" s="65" t="s">
        <v>137</v>
      </c>
      <c r="C15" s="66" t="s">
        <v>138</v>
      </c>
      <c r="D15" s="64"/>
      <c r="E15" s="64"/>
      <c r="F15" s="64"/>
      <c r="G15" s="66">
        <v>8</v>
      </c>
      <c r="K15" s="58"/>
      <c r="L15" s="75" t="s">
        <v>139</v>
      </c>
      <c r="M15" s="72"/>
      <c r="N15" s="73">
        <v>24</v>
      </c>
      <c r="O15" s="73">
        <v>21</v>
      </c>
      <c r="P15" s="73">
        <v>22</v>
      </c>
      <c r="Q15" s="74">
        <f>SUM(N15:P15)</f>
      </c>
      <c r="R15" s="60"/>
    </row>
    <row r="16" ht="15.75" customHeight="1" spans="2:18" x14ac:dyDescent="0.25">
      <c r="B16" s="65" t="s">
        <v>140</v>
      </c>
      <c r="C16" s="66" t="s">
        <v>141</v>
      </c>
      <c r="D16" s="64"/>
      <c r="E16" s="64"/>
      <c r="F16" s="64"/>
      <c r="G16" s="66">
        <v>12</v>
      </c>
      <c r="K16" s="58"/>
      <c r="L16" s="71" t="s">
        <v>142</v>
      </c>
      <c r="M16" s="72"/>
      <c r="N16" s="73">
        <v>18</v>
      </c>
      <c r="O16" s="73">
        <v>27</v>
      </c>
      <c r="P16" s="73">
        <v>26</v>
      </c>
      <c r="Q16" s="74">
        <f>SUM(N16:P16)</f>
      </c>
      <c r="R16" s="60"/>
    </row>
    <row r="17" ht="15.75" customHeight="1" spans="2:18" x14ac:dyDescent="0.25">
      <c r="B17" s="65" t="s">
        <v>143</v>
      </c>
      <c r="C17" s="66" t="s">
        <v>144</v>
      </c>
      <c r="D17" s="64"/>
      <c r="E17" s="64"/>
      <c r="F17" s="64"/>
      <c r="G17" s="66">
        <v>9</v>
      </c>
      <c r="K17" s="58"/>
      <c r="L17" s="71" t="s">
        <v>145</v>
      </c>
      <c r="M17" s="72"/>
      <c r="N17" s="66">
        <v>22</v>
      </c>
      <c r="O17" s="66">
        <v>12</v>
      </c>
      <c r="P17" s="66">
        <v>16</v>
      </c>
      <c r="Q17" s="76">
        <f>SUM(N17:P17)</f>
      </c>
      <c r="R17" s="60"/>
    </row>
    <row r="18" ht="15.75" customHeight="1" spans="2:18" x14ac:dyDescent="0.25">
      <c r="B18" s="65" t="s">
        <v>146</v>
      </c>
      <c r="C18" s="66" t="s">
        <v>147</v>
      </c>
      <c r="D18" s="64"/>
      <c r="E18" s="64"/>
      <c r="F18" s="64"/>
      <c r="G18" s="66">
        <v>5</v>
      </c>
      <c r="K18" s="58"/>
      <c r="L18" s="75" t="s">
        <v>148</v>
      </c>
      <c r="M18" s="72"/>
      <c r="N18" s="66">
        <v>15</v>
      </c>
      <c r="O18" s="66">
        <v>14</v>
      </c>
      <c r="P18" s="66">
        <v>18</v>
      </c>
      <c r="Q18" s="76">
        <f>SUM(N18:P18)</f>
      </c>
      <c r="R18" s="60"/>
    </row>
    <row r="19" ht="15.75" customHeight="1" spans="2:18" x14ac:dyDescent="0.25">
      <c r="B19" s="65" t="s">
        <v>149</v>
      </c>
      <c r="C19" s="66" t="s">
        <v>150</v>
      </c>
      <c r="D19" s="64"/>
      <c r="E19" s="64"/>
      <c r="F19" s="64"/>
      <c r="G19" s="66">
        <v>15</v>
      </c>
      <c r="K19" s="58"/>
      <c r="L19" s="75" t="s">
        <v>151</v>
      </c>
      <c r="M19" s="72"/>
      <c r="N19" s="66">
        <v>22</v>
      </c>
      <c r="O19" s="66">
        <v>14</v>
      </c>
      <c r="P19" s="66">
        <v>28</v>
      </c>
      <c r="Q19" s="76">
        <f>SUM(N19:P19)</f>
      </c>
      <c r="R19" s="60"/>
    </row>
    <row r="20" ht="15.75" customHeight="1" spans="2:18" x14ac:dyDescent="0.25">
      <c r="B20" s="65" t="s">
        <v>152</v>
      </c>
      <c r="C20" s="66" t="s">
        <v>153</v>
      </c>
      <c r="D20" s="64"/>
      <c r="E20" s="64"/>
      <c r="F20" s="64"/>
      <c r="G20" s="66">
        <v>8</v>
      </c>
      <c r="K20" s="58"/>
      <c r="L20" s="75" t="s">
        <v>154</v>
      </c>
      <c r="M20" s="72"/>
      <c r="N20" s="77">
        <v>27</v>
      </c>
      <c r="O20" s="77">
        <v>25</v>
      </c>
      <c r="P20" s="77">
        <v>26</v>
      </c>
      <c r="Q20" s="78">
        <f>SUM(N20:P20)</f>
      </c>
      <c r="R20" s="60"/>
    </row>
    <row r="21" ht="15.75" customHeight="1" spans="2:18" x14ac:dyDescent="0.25">
      <c r="B21" s="65" t="s">
        <v>155</v>
      </c>
      <c r="C21" s="66" t="s">
        <v>156</v>
      </c>
      <c r="D21" s="64"/>
      <c r="E21" s="64"/>
      <c r="F21" s="64"/>
      <c r="G21" s="66">
        <v>15</v>
      </c>
      <c r="K21" s="58"/>
      <c r="L21" s="79" t="s">
        <v>157</v>
      </c>
      <c r="M21" s="72"/>
      <c r="N21" s="80">
        <f>SUM(N12:N20)</f>
      </c>
      <c r="O21" s="80">
        <f>SUM(O12:O20)</f>
      </c>
      <c r="P21" s="80">
        <f>SUM(P12:P20)</f>
      </c>
      <c r="Q21" s="80">
        <f>SUM(Q12:Q20)</f>
      </c>
      <c r="R21" s="60"/>
    </row>
    <row r="22" ht="15.75" customHeight="1" spans="2:18" x14ac:dyDescent="0.25">
      <c r="B22" s="65" t="s">
        <v>158</v>
      </c>
      <c r="C22" s="66" t="s">
        <v>159</v>
      </c>
      <c r="D22" s="64"/>
      <c r="E22" s="64"/>
      <c r="F22" s="64"/>
      <c r="G22" s="66">
        <v>7</v>
      </c>
      <c r="K22" s="81"/>
      <c r="L22" s="82"/>
      <c r="M22" s="82"/>
      <c r="N22" s="83"/>
      <c r="O22" s="83"/>
      <c r="P22" s="83"/>
      <c r="Q22" s="83"/>
      <c r="R22" s="84"/>
    </row>
    <row r="23" ht="15.75" customHeight="1" spans="2:7" x14ac:dyDescent="0.25">
      <c r="B23" s="65" t="s">
        <v>160</v>
      </c>
      <c r="C23" s="66" t="s">
        <v>161</v>
      </c>
      <c r="D23" s="64"/>
      <c r="E23" s="64"/>
      <c r="F23" s="64"/>
      <c r="G23" s="66">
        <v>4</v>
      </c>
    </row>
    <row r="24" ht="15.75" customHeight="1" spans="2:7" x14ac:dyDescent="0.25">
      <c r="B24" s="65" t="s">
        <v>162</v>
      </c>
      <c r="C24" s="66" t="s">
        <v>163</v>
      </c>
      <c r="D24" s="64"/>
      <c r="E24" s="64"/>
      <c r="F24" s="64"/>
      <c r="G24" s="66">
        <v>6</v>
      </c>
    </row>
    <row r="28" ht="18.75" customHeight="1" spans="2:12" x14ac:dyDescent="0.25">
      <c r="B28" s="85" t="s">
        <v>164</v>
      </c>
      <c r="C28" s="85"/>
      <c r="D28" s="85"/>
      <c r="E28" s="85"/>
      <c r="F28" s="85"/>
      <c r="K28" s="85" t="s">
        <v>165</v>
      </c>
      <c r="L28" s="85"/>
    </row>
    <row r="29" spans="2:12" x14ac:dyDescent="0.25">
      <c r="B29" s="67" t="s">
        <v>111</v>
      </c>
      <c r="C29" s="7" t="s">
        <v>112</v>
      </c>
      <c r="D29" s="7" t="s">
        <v>113</v>
      </c>
      <c r="E29" s="7" t="s">
        <v>114</v>
      </c>
      <c r="F29" s="7" t="s">
        <v>115</v>
      </c>
      <c r="K29" s="7" t="s">
        <v>166</v>
      </c>
      <c r="L29" s="7" t="s">
        <v>123</v>
      </c>
    </row>
    <row r="30" ht="15.75" customHeight="1" spans="2:12" x14ac:dyDescent="0.25">
      <c r="B30" s="86" t="s">
        <v>118</v>
      </c>
      <c r="C30" s="63" t="s">
        <v>119</v>
      </c>
      <c r="D30" s="64">
        <v>2.5</v>
      </c>
      <c r="E30" s="64">
        <v>3.99</v>
      </c>
      <c r="F30" s="64">
        <f>E30-D30</f>
      </c>
      <c r="K30" s="10" t="s">
        <v>154</v>
      </c>
      <c r="L30" s="87">
        <v>10</v>
      </c>
    </row>
    <row r="31" ht="15.75" customHeight="1" spans="2:12" x14ac:dyDescent="0.25">
      <c r="B31" s="88" t="s">
        <v>162</v>
      </c>
      <c r="C31" s="66" t="s">
        <v>163</v>
      </c>
      <c r="D31" s="89">
        <v>0.55</v>
      </c>
      <c r="E31" s="89">
        <v>1.99</v>
      </c>
      <c r="F31" s="64">
        <f>E31-D31</f>
      </c>
      <c r="K31" s="10" t="s">
        <v>133</v>
      </c>
      <c r="L31" s="87">
        <v>25</v>
      </c>
    </row>
    <row r="32" ht="15.75" customHeight="1" spans="2:12" x14ac:dyDescent="0.25">
      <c r="B32" s="88" t="s">
        <v>140</v>
      </c>
      <c r="C32" s="66" t="s">
        <v>141</v>
      </c>
      <c r="D32" s="89">
        <v>0.85</v>
      </c>
      <c r="E32" s="89">
        <v>1.29</v>
      </c>
      <c r="F32" s="64">
        <f>E32-D32</f>
      </c>
      <c r="K32" s="10" t="s">
        <v>148</v>
      </c>
      <c r="L32" s="87">
        <v>25</v>
      </c>
    </row>
    <row r="33" ht="15.75" customHeight="1" spans="2:12" x14ac:dyDescent="0.25">
      <c r="B33" s="88" t="s">
        <v>160</v>
      </c>
      <c r="C33" s="66" t="s">
        <v>161</v>
      </c>
      <c r="D33" s="89">
        <v>3.45</v>
      </c>
      <c r="E33" s="89">
        <v>5.99</v>
      </c>
      <c r="F33" s="64">
        <f>E33-D33</f>
      </c>
      <c r="K33" s="10" t="s">
        <v>139</v>
      </c>
      <c r="L33" s="87">
        <v>10</v>
      </c>
    </row>
    <row r="34" ht="15.75" customHeight="1" spans="2:12" x14ac:dyDescent="0.25">
      <c r="B34" s="88" t="s">
        <v>128</v>
      </c>
      <c r="C34" s="66" t="s">
        <v>129</v>
      </c>
      <c r="D34" s="89">
        <v>2.75</v>
      </c>
      <c r="E34" s="89">
        <v>4.99</v>
      </c>
      <c r="F34" s="64">
        <f>E34-D34</f>
      </c>
      <c r="K34" s="10" t="s">
        <v>151</v>
      </c>
      <c r="L34" s="87">
        <v>15</v>
      </c>
    </row>
    <row r="35" ht="15.75" customHeight="1" spans="2:12" x14ac:dyDescent="0.25">
      <c r="B35" s="88" t="s">
        <v>149</v>
      </c>
      <c r="C35" s="66" t="s">
        <v>150</v>
      </c>
      <c r="D35" s="89">
        <v>1.25</v>
      </c>
      <c r="E35" s="89">
        <v>3.99</v>
      </c>
      <c r="F35" s="64">
        <f>E35-D35</f>
      </c>
      <c r="K35" s="10" t="s">
        <v>130</v>
      </c>
      <c r="L35" s="87">
        <v>25</v>
      </c>
    </row>
    <row r="36" ht="15.75" customHeight="1" spans="2:12" x14ac:dyDescent="0.25">
      <c r="B36" s="88" t="s">
        <v>131</v>
      </c>
      <c r="C36" s="66" t="s">
        <v>132</v>
      </c>
      <c r="D36" s="89">
        <v>1.25</v>
      </c>
      <c r="E36" s="89">
        <v>3.99</v>
      </c>
      <c r="F36" s="64">
        <f>E36-D36</f>
      </c>
      <c r="K36" s="10" t="s">
        <v>142</v>
      </c>
      <c r="L36" s="87">
        <v>10</v>
      </c>
    </row>
    <row r="37" ht="15.75" customHeight="1" spans="2:12" x14ac:dyDescent="0.25">
      <c r="B37" s="88" t="s">
        <v>134</v>
      </c>
      <c r="C37" s="66" t="s">
        <v>135</v>
      </c>
      <c r="D37" s="89">
        <v>1.25</v>
      </c>
      <c r="E37" s="89">
        <v>3.99</v>
      </c>
      <c r="F37" s="64">
        <f>E37-D37</f>
      </c>
      <c r="K37" s="10" t="s">
        <v>145</v>
      </c>
      <c r="L37" s="87">
        <v>10</v>
      </c>
    </row>
    <row r="38" ht="15.75" customHeight="1" spans="2:12" x14ac:dyDescent="0.25">
      <c r="B38" s="88" t="s">
        <v>137</v>
      </c>
      <c r="C38" s="66" t="s">
        <v>138</v>
      </c>
      <c r="D38" s="89">
        <v>1.75</v>
      </c>
      <c r="E38" s="89">
        <v>4.99</v>
      </c>
      <c r="F38" s="64">
        <f>E38-D38</f>
      </c>
      <c r="K38" s="10" t="s">
        <v>136</v>
      </c>
      <c r="L38" s="87">
        <v>10</v>
      </c>
    </row>
    <row r="39" ht="15.75" customHeight="1" spans="2:6" x14ac:dyDescent="0.25">
      <c r="B39" s="88" t="s">
        <v>152</v>
      </c>
      <c r="C39" s="66" t="s">
        <v>153</v>
      </c>
      <c r="D39" s="89">
        <v>2.5</v>
      </c>
      <c r="E39" s="89">
        <v>3.99</v>
      </c>
      <c r="F39" s="64">
        <f>E39-D39</f>
      </c>
    </row>
    <row r="40" ht="15.75" customHeight="1" spans="2:6" x14ac:dyDescent="0.25">
      <c r="B40" s="88" t="s">
        <v>143</v>
      </c>
      <c r="C40" s="66" t="s">
        <v>144</v>
      </c>
      <c r="D40" s="89">
        <v>2.25</v>
      </c>
      <c r="E40" s="89">
        <v>4.99</v>
      </c>
      <c r="F40" s="64">
        <f>E40-D40</f>
      </c>
    </row>
    <row r="41" ht="15.75" customHeight="1" spans="2:6" x14ac:dyDescent="0.25">
      <c r="B41" s="88" t="s">
        <v>120</v>
      </c>
      <c r="C41" s="66" t="s">
        <v>121</v>
      </c>
      <c r="D41" s="89">
        <v>2.25</v>
      </c>
      <c r="E41" s="89">
        <v>5.99</v>
      </c>
      <c r="F41" s="64">
        <f>E41-D41</f>
      </c>
    </row>
    <row r="42" ht="15.75" customHeight="1" spans="2:6" x14ac:dyDescent="0.25">
      <c r="B42" s="88" t="s">
        <v>158</v>
      </c>
      <c r="C42" s="66" t="s">
        <v>159</v>
      </c>
      <c r="D42" s="89">
        <v>1.55</v>
      </c>
      <c r="E42" s="89">
        <v>4.99</v>
      </c>
      <c r="F42" s="64">
        <f>E42-D42</f>
      </c>
    </row>
    <row r="43" ht="15.75" customHeight="1" spans="2:6" x14ac:dyDescent="0.25">
      <c r="B43" s="88" t="s">
        <v>146</v>
      </c>
      <c r="C43" s="66" t="s">
        <v>147</v>
      </c>
      <c r="D43" s="89">
        <v>2.75</v>
      </c>
      <c r="E43" s="89">
        <v>5.99</v>
      </c>
      <c r="F43" s="64">
        <f>E43-D43</f>
      </c>
    </row>
    <row r="44" ht="15.75" customHeight="1" spans="2:6" x14ac:dyDescent="0.25">
      <c r="B44" s="88" t="s">
        <v>155</v>
      </c>
      <c r="C44" s="66" t="s">
        <v>156</v>
      </c>
      <c r="D44" s="89">
        <v>3.55</v>
      </c>
      <c r="E44" s="89">
        <v>6.99</v>
      </c>
      <c r="F44" s="64">
        <f>E44-D44</f>
      </c>
    </row>
  </sheetData>
  <mergeCells count="5">
    <mergeCell ref="B2:I5"/>
    <mergeCell ref="K2:R5"/>
    <mergeCell ref="B7:G8"/>
    <mergeCell ref="B28:F28"/>
    <mergeCell ref="K28:L28"/>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5"/>
  <sheetFormatPr defaultRowHeight="15" outlineLevelRow="0" outlineLevelCol="0" x14ac:dyDescent="55"/>
  <cols>
    <col min="1" max="1" width="9.285714285714286" customWidth="1"/>
    <col min="2" max="2" width="13.571428571428571" customWidth="1"/>
    <col min="3" max="3" width="17.857142857142858" customWidth="1"/>
    <col min="4" max="4" width="12.857142857142858" customWidth="1"/>
    <col min="5" max="7" width="13.571428571428571" customWidth="1"/>
    <col min="8" max="8" width="17.428571428571427" customWidth="1"/>
    <col min="9" max="9" width="13.571428571428571" customWidth="1"/>
    <col min="10" max="10" width="14.571428571428571" customWidth="1"/>
    <col min="11" max="11" width="13.571428571428571" customWidth="1"/>
    <col min="12" max="12" width="14.142857142857142" customWidth="1"/>
    <col min="13" max="13" width="13.142857142857142" customWidth="1"/>
    <col min="14" max="14" width="12.428571428571429" customWidth="1"/>
    <col min="15" max="24" width="13.571428571428571" customWidth="1"/>
  </cols>
  <sheetData>
    <row r="2" ht="18.75" customHeight="1" spans="2:14" x14ac:dyDescent="0.25">
      <c r="B2" s="19" t="s">
        <v>167</v>
      </c>
      <c r="C2" s="19"/>
      <c r="H2" s="19" t="s">
        <v>168</v>
      </c>
      <c r="I2" s="19"/>
      <c r="J2" s="19"/>
      <c r="L2" s="19" t="s">
        <v>169</v>
      </c>
      <c r="M2" s="19"/>
      <c r="N2" s="19"/>
    </row>
    <row r="3" spans="4:12" x14ac:dyDescent="0.25">
      <c r="D3" s="13" t="s">
        <v>170</v>
      </c>
      <c r="E3" s="31">
        <v>4.5</v>
      </c>
      <c r="I3" s="5"/>
      <c r="J3" s="5"/>
      <c r="L3" s="15" t="s">
        <v>171</v>
      </c>
    </row>
    <row r="4" ht="60" customHeight="1" spans="2:14" x14ac:dyDescent="0.25">
      <c r="B4" s="7" t="s">
        <v>172</v>
      </c>
      <c r="C4" s="8" t="s">
        <v>173</v>
      </c>
      <c r="H4" s="7" t="s">
        <v>174</v>
      </c>
      <c r="I4" s="7" t="s">
        <v>175</v>
      </c>
      <c r="J4" s="7" t="s">
        <v>176</v>
      </c>
      <c r="L4" s="7" t="s">
        <v>177</v>
      </c>
      <c r="M4" s="7" t="s">
        <v>178</v>
      </c>
      <c r="N4" s="7" t="s">
        <v>179</v>
      </c>
    </row>
    <row r="5" spans="2:14" x14ac:dyDescent="0.25">
      <c r="B5" s="90">
        <v>4.5</v>
      </c>
      <c r="C5" s="10"/>
      <c r="H5" s="10" t="s">
        <v>180</v>
      </c>
      <c r="I5" s="91" t="s">
        <v>181</v>
      </c>
      <c r="J5" s="12"/>
      <c r="L5" s="10" t="s">
        <v>182</v>
      </c>
      <c r="M5" s="91" t="s">
        <v>183</v>
      </c>
      <c r="N5" s="10"/>
    </row>
    <row r="6" spans="2:14" x14ac:dyDescent="0.25">
      <c r="B6" s="90">
        <v>4.75</v>
      </c>
      <c r="C6" s="10"/>
      <c r="H6" s="10" t="s">
        <v>184</v>
      </c>
      <c r="I6" s="91" t="s">
        <v>185</v>
      </c>
      <c r="J6" s="12"/>
      <c r="L6" s="10" t="s">
        <v>186</v>
      </c>
      <c r="M6" s="91" t="s">
        <v>187</v>
      </c>
      <c r="N6" s="10"/>
    </row>
    <row r="7" spans="2:14" x14ac:dyDescent="0.25">
      <c r="B7" s="90">
        <v>4.34</v>
      </c>
      <c r="C7" s="10"/>
      <c r="H7" s="10" t="s">
        <v>188</v>
      </c>
      <c r="I7" s="91" t="s">
        <v>185</v>
      </c>
      <c r="J7" s="12"/>
      <c r="L7" s="10" t="s">
        <v>189</v>
      </c>
      <c r="M7" s="91" t="s">
        <v>187</v>
      </c>
      <c r="N7" s="10"/>
    </row>
    <row r="8" spans="2:14" x14ac:dyDescent="0.25">
      <c r="B8" s="90">
        <v>4.85</v>
      </c>
      <c r="C8" s="10"/>
      <c r="H8" s="10" t="s">
        <v>190</v>
      </c>
      <c r="I8" s="91" t="s">
        <v>181</v>
      </c>
      <c r="J8" s="12"/>
      <c r="L8" s="10" t="s">
        <v>191</v>
      </c>
      <c r="M8" s="91" t="s">
        <v>192</v>
      </c>
      <c r="N8" s="10"/>
    </row>
    <row r="9" spans="2:14" x14ac:dyDescent="0.25">
      <c r="B9" s="90">
        <v>5.65</v>
      </c>
      <c r="C9" s="10"/>
      <c r="H9" s="10" t="s">
        <v>193</v>
      </c>
      <c r="I9" s="91" t="s">
        <v>185</v>
      </c>
      <c r="J9" s="12"/>
      <c r="L9" s="10" t="s">
        <v>194</v>
      </c>
      <c r="M9" s="91" t="s">
        <v>183</v>
      </c>
      <c r="N9" s="10"/>
    </row>
    <row r="10" spans="8:14" x14ac:dyDescent="0.25">
      <c r="H10" s="10" t="s">
        <v>195</v>
      </c>
      <c r="I10" s="91" t="s">
        <v>181</v>
      </c>
      <c r="J10" s="12"/>
      <c r="L10" s="10" t="s">
        <v>196</v>
      </c>
      <c r="M10" s="91" t="s">
        <v>183</v>
      </c>
      <c r="N10" s="10"/>
    </row>
    <row r="11" ht="14.25" customHeight="1" spans="3:14" x14ac:dyDescent="0.25">
      <c r="C11" s="92"/>
      <c r="D11" s="92"/>
      <c r="E11" s="92"/>
      <c r="F11" s="92"/>
      <c r="H11" s="10" t="s">
        <v>197</v>
      </c>
      <c r="I11" s="91" t="s">
        <v>181</v>
      </c>
      <c r="J11" s="12"/>
      <c r="L11" s="10" t="s">
        <v>198</v>
      </c>
      <c r="M11" s="91" t="s">
        <v>192</v>
      </c>
      <c r="N11" s="10"/>
    </row>
    <row r="12" ht="14.25" customHeight="1" spans="2:10" x14ac:dyDescent="0.25">
      <c r="B12" s="92"/>
      <c r="C12" s="92"/>
      <c r="D12" s="92"/>
      <c r="E12" s="92"/>
      <c r="F12" s="92"/>
      <c r="I12" s="5"/>
      <c r="J12" s="5"/>
    </row>
    <row r="13" ht="44.25" customHeight="1" spans="2:15" x14ac:dyDescent="0.25">
      <c r="B13" s="93" t="s">
        <v>199</v>
      </c>
      <c r="C13" s="93"/>
      <c r="D13" s="93"/>
      <c r="E13" s="93"/>
      <c r="F13" s="93"/>
      <c r="H13" s="94" t="s">
        <v>200</v>
      </c>
      <c r="I13" s="94"/>
      <c r="J13" s="94"/>
      <c r="L13" s="94" t="s">
        <v>201</v>
      </c>
      <c r="M13" s="94"/>
      <c r="N13" s="94"/>
      <c r="O13" s="94"/>
    </row>
    <row r="14" spans="9:10" x14ac:dyDescent="0.25">
      <c r="I14" s="5"/>
      <c r="J14" s="5"/>
    </row>
    <row r="17" ht="18.75" customHeight="1" spans="2:14" x14ac:dyDescent="0.25">
      <c r="B17" s="19" t="s">
        <v>63</v>
      </c>
      <c r="C17" s="19"/>
      <c r="H17" s="19" t="s">
        <v>63</v>
      </c>
      <c r="I17" s="19"/>
      <c r="J17" s="19"/>
      <c r="L17" s="19" t="s">
        <v>63</v>
      </c>
      <c r="M17" s="19"/>
      <c r="N17" s="19"/>
    </row>
    <row r="18" ht="60" customHeight="1" spans="2:14" x14ac:dyDescent="0.25">
      <c r="B18" s="5" t="s">
        <v>172</v>
      </c>
      <c r="C18" s="30" t="s">
        <v>173</v>
      </c>
      <c r="H18" s="5" t="s">
        <v>174</v>
      </c>
      <c r="I18" s="5" t="s">
        <v>175</v>
      </c>
      <c r="J18" s="5" t="s">
        <v>176</v>
      </c>
      <c r="L18" s="30" t="s">
        <v>177</v>
      </c>
      <c r="M18" s="30" t="s">
        <v>178</v>
      </c>
      <c r="N18" s="30" t="s">
        <v>179</v>
      </c>
    </row>
    <row r="19" spans="2:14" x14ac:dyDescent="0.25">
      <c r="B19" s="31">
        <v>4.5</v>
      </c>
      <c r="C19" t="s">
        <v>202</v>
      </c>
      <c r="H19" t="s">
        <v>180</v>
      </c>
      <c r="I19" t="s">
        <v>181</v>
      </c>
      <c r="J19" t="s">
        <v>203</v>
      </c>
      <c r="L19" t="s">
        <v>182</v>
      </c>
      <c r="M19" t="s">
        <v>183</v>
      </c>
      <c r="N19" t="s">
        <v>204</v>
      </c>
    </row>
    <row r="20" spans="2:14" x14ac:dyDescent="0.25">
      <c r="B20" s="31">
        <v>4.75</v>
      </c>
      <c r="C20" t="s">
        <v>202</v>
      </c>
      <c r="H20" t="s">
        <v>184</v>
      </c>
      <c r="I20" t="s">
        <v>185</v>
      </c>
      <c r="J20" t="s">
        <v>176</v>
      </c>
      <c r="L20" t="s">
        <v>186</v>
      </c>
      <c r="M20" t="s">
        <v>187</v>
      </c>
      <c r="N20" t="s">
        <v>205</v>
      </c>
    </row>
    <row r="21" spans="2:14" x14ac:dyDescent="0.25">
      <c r="B21" s="31">
        <v>4.34</v>
      </c>
      <c r="C21" t="s">
        <v>206</v>
      </c>
      <c r="H21" t="s">
        <v>188</v>
      </c>
      <c r="I21" t="s">
        <v>185</v>
      </c>
      <c r="J21" t="s">
        <v>176</v>
      </c>
      <c r="L21" t="s">
        <v>189</v>
      </c>
      <c r="M21" t="s">
        <v>187</v>
      </c>
      <c r="N21" t="s">
        <v>205</v>
      </c>
    </row>
    <row r="22" spans="2:14" x14ac:dyDescent="0.25">
      <c r="B22" s="31">
        <v>4.85</v>
      </c>
      <c r="C22" t="s">
        <v>202</v>
      </c>
      <c r="H22" t="s">
        <v>190</v>
      </c>
      <c r="I22" t="s">
        <v>181</v>
      </c>
      <c r="J22" t="s">
        <v>203</v>
      </c>
      <c r="L22" t="s">
        <v>191</v>
      </c>
      <c r="M22" t="s">
        <v>192</v>
      </c>
      <c r="N22" t="s">
        <v>205</v>
      </c>
    </row>
    <row r="23" spans="2:14" x14ac:dyDescent="0.25">
      <c r="B23" s="31">
        <v>5.65</v>
      </c>
      <c r="C23" t="s">
        <v>202</v>
      </c>
      <c r="H23" t="s">
        <v>193</v>
      </c>
      <c r="I23" t="s">
        <v>185</v>
      </c>
      <c r="J23" t="s">
        <v>176</v>
      </c>
      <c r="L23" t="s">
        <v>194</v>
      </c>
      <c r="M23" t="s">
        <v>183</v>
      </c>
      <c r="N23" t="s">
        <v>204</v>
      </c>
    </row>
    <row r="24" spans="8:14" x14ac:dyDescent="0.25">
      <c r="H24" t="s">
        <v>195</v>
      </c>
      <c r="I24" t="s">
        <v>181</v>
      </c>
      <c r="J24" t="s">
        <v>203</v>
      </c>
      <c r="L24" t="s">
        <v>196</v>
      </c>
      <c r="M24" t="s">
        <v>183</v>
      </c>
      <c r="N24" t="s">
        <v>204</v>
      </c>
    </row>
    <row r="25" spans="8:14" x14ac:dyDescent="0.25">
      <c r="H25" t="s">
        <v>197</v>
      </c>
      <c r="I25" t="s">
        <v>181</v>
      </c>
      <c r="J25" t="s">
        <v>203</v>
      </c>
      <c r="L25" t="s">
        <v>198</v>
      </c>
      <c r="M25" t="s">
        <v>192</v>
      </c>
      <c r="N25" t="s">
        <v>205</v>
      </c>
    </row>
  </sheetData>
  <mergeCells count="9">
    <mergeCell ref="B2:C2"/>
    <mergeCell ref="H2:J2"/>
    <mergeCell ref="L2:N2"/>
    <mergeCell ref="B13:F13"/>
    <mergeCell ref="H13:J13"/>
    <mergeCell ref="L13:O13"/>
    <mergeCell ref="B17:C17"/>
    <mergeCell ref="H17:J17"/>
    <mergeCell ref="L17:N17"/>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FormatPr defaultRowHeight="15" outlineLevelRow="0" outlineLevelCol="0" x14ac:dyDescent="55"/>
  <cols>
    <col min="1" max="1" width="14.428571428571429" customWidth="1"/>
    <col min="2" max="2" width="19.714285714285715" customWidth="1"/>
    <col min="3" max="3" width="17.142857142857142" customWidth="1"/>
    <col min="4" max="4" width="9.285714285714286" customWidth="1"/>
    <col min="5" max="5" width="28.428571428571427" customWidth="1"/>
    <col min="6" max="6" width="14.714285714285714" customWidth="1"/>
    <col min="7" max="7" width="30" customWidth="1"/>
    <col min="8" max="8" width="10.428571428571429" customWidth="1"/>
    <col min="9" max="9" width="20.428571428571427" customWidth="1"/>
    <col min="10" max="10" width="10.857142857142858" customWidth="1"/>
    <col min="11" max="11" width="14.142857142857142" customWidth="1"/>
    <col min="12" max="12" width="15.142857142857142" customWidth="1"/>
    <col min="13" max="13" width="11" customWidth="1"/>
    <col min="14" max="24" width="13.571428571428571" customWidth="1"/>
  </cols>
  <sheetData>
    <row r="1" ht="21" customHeight="1" spans="1:3" x14ac:dyDescent="0.25">
      <c r="A1" s="95" t="s">
        <v>207</v>
      </c>
      <c r="B1" s="95"/>
      <c r="C1" s="95"/>
    </row>
    <row r="2" ht="21" customHeight="1" spans="1:3" x14ac:dyDescent="0.25">
      <c r="A2" s="96"/>
      <c r="B2" s="96"/>
      <c r="C2" s="96"/>
    </row>
    <row r="3" ht="24" customHeight="1" spans="1:14" x14ac:dyDescent="0.25">
      <c r="A3" s="15" t="s">
        <v>208</v>
      </c>
      <c r="B3">
        <v>9100</v>
      </c>
      <c r="K3" s="97" t="s">
        <v>209</v>
      </c>
      <c r="L3" s="97"/>
      <c r="M3" s="97"/>
      <c r="N3" s="97"/>
    </row>
    <row r="4" ht="24" customHeight="1" spans="1:14" x14ac:dyDescent="0.25">
      <c r="A4" s="15" t="s">
        <v>210</v>
      </c>
      <c r="C4" s="98" t="s">
        <v>211</v>
      </c>
      <c r="D4" s="98"/>
      <c r="E4" s="98"/>
      <c r="F4" s="98"/>
      <c r="G4" s="98"/>
      <c r="H4" s="98"/>
      <c r="I4" s="98"/>
      <c r="K4" s="97"/>
      <c r="L4" s="97"/>
      <c r="M4" s="97"/>
      <c r="N4" s="97"/>
    </row>
    <row r="5" ht="24" customHeight="1" spans="1:14" x14ac:dyDescent="0.25">
      <c r="A5" s="15" t="s">
        <v>212</v>
      </c>
      <c r="C5" s="98" t="s">
        <v>213</v>
      </c>
      <c r="D5" s="98"/>
      <c r="E5" s="98"/>
      <c r="F5" s="98"/>
      <c r="G5" s="98"/>
      <c r="H5" s="98"/>
      <c r="I5" s="98"/>
      <c r="K5" s="99" t="s">
        <v>214</v>
      </c>
      <c r="L5" s="99"/>
      <c r="M5" s="99"/>
      <c r="N5" s="99"/>
    </row>
    <row r="6" spans="1:14" x14ac:dyDescent="0.25">
      <c r="A6" s="16"/>
      <c r="K6" s="99"/>
      <c r="L6" s="99"/>
      <c r="M6" s="99"/>
      <c r="N6" s="99"/>
    </row>
    <row r="7" ht="18.75" customHeight="1" spans="1:14" x14ac:dyDescent="0.25">
      <c r="A7" s="16"/>
      <c r="F7" s="99" t="s">
        <v>215</v>
      </c>
      <c r="G7" s="99"/>
      <c r="H7" s="99"/>
      <c r="I7" s="99"/>
      <c r="K7" s="99" t="s">
        <v>216</v>
      </c>
      <c r="L7" s="99"/>
      <c r="M7" s="99"/>
      <c r="N7" s="99"/>
    </row>
    <row r="8" ht="18.75" customHeight="1" spans="1:14" x14ac:dyDescent="0.25">
      <c r="A8" s="16"/>
      <c r="F8" s="99"/>
      <c r="G8" s="99"/>
      <c r="H8" s="99"/>
      <c r="I8" s="99"/>
      <c r="K8" s="99"/>
      <c r="L8" s="99"/>
      <c r="M8" s="99"/>
      <c r="N8" s="99"/>
    </row>
    <row r="9" ht="18.75" customHeight="1" spans="1:14" x14ac:dyDescent="0.25">
      <c r="A9" s="16"/>
      <c r="F9" s="99"/>
      <c r="G9" s="99"/>
      <c r="H9" s="99"/>
      <c r="I9" s="99"/>
      <c r="K9" s="99"/>
      <c r="L9" s="99"/>
      <c r="M9" s="99"/>
      <c r="N9" s="99"/>
    </row>
    <row r="10" spans="1:12" x14ac:dyDescent="0.25">
      <c r="A10" s="15" t="s">
        <v>208</v>
      </c>
      <c r="B10" s="15" t="s">
        <v>217</v>
      </c>
      <c r="C10" s="15" t="s">
        <v>218</v>
      </c>
      <c r="D10" s="15" t="s">
        <v>219</v>
      </c>
      <c r="E10" s="15" t="s">
        <v>210</v>
      </c>
      <c r="F10" s="15" t="s">
        <v>220</v>
      </c>
      <c r="G10" s="15" t="s">
        <v>221</v>
      </c>
      <c r="H10" s="15" t="s">
        <v>29</v>
      </c>
      <c r="I10" s="15" t="s">
        <v>222</v>
      </c>
      <c r="J10" s="15" t="s">
        <v>223</v>
      </c>
      <c r="K10" s="15" t="s">
        <v>212</v>
      </c>
      <c r="L10" s="15" t="s">
        <v>224</v>
      </c>
    </row>
    <row r="11" spans="1:11" x14ac:dyDescent="0.25">
      <c r="A11" s="16">
        <v>9100</v>
      </c>
      <c r="B11" t="s">
        <v>225</v>
      </c>
      <c r="C11" t="s">
        <v>226</v>
      </c>
      <c r="E11">
        <f>CONCATENATE(C11," ",B11)</f>
      </c>
      <c r="F11" t="s">
        <v>227</v>
      </c>
      <c r="G11" t="s">
        <v>228</v>
      </c>
      <c r="H11" s="31"/>
      <c r="I11" t="s">
        <v>229</v>
      </c>
      <c r="J11" t="s">
        <v>230</v>
      </c>
      <c r="K11" t="s">
        <v>231</v>
      </c>
    </row>
    <row r="12" spans="1:11" x14ac:dyDescent="0.25">
      <c r="A12" s="16">
        <v>9101</v>
      </c>
      <c r="B12" t="s">
        <v>232</v>
      </c>
      <c r="C12" t="s">
        <v>233</v>
      </c>
      <c r="E12">
        <f>CONCATENATE(C12," ",B12)</f>
      </c>
      <c r="F12" t="s">
        <v>234</v>
      </c>
      <c r="G12" t="s">
        <v>235</v>
      </c>
      <c r="H12" s="31"/>
      <c r="I12" t="s">
        <v>229</v>
      </c>
      <c r="J12" t="s">
        <v>230</v>
      </c>
      <c r="K12" t="s">
        <v>236</v>
      </c>
    </row>
    <row r="13" spans="1:11" x14ac:dyDescent="0.25">
      <c r="A13" s="16">
        <v>9102</v>
      </c>
      <c r="B13" t="s">
        <v>237</v>
      </c>
      <c r="C13" t="s">
        <v>238</v>
      </c>
      <c r="E13">
        <f>CONCATENATE(C13," ",B13)</f>
      </c>
      <c r="F13" t="s">
        <v>239</v>
      </c>
      <c r="G13" t="s">
        <v>240</v>
      </c>
      <c r="H13" s="31"/>
      <c r="I13" t="s">
        <v>241</v>
      </c>
      <c r="J13" t="s">
        <v>242</v>
      </c>
      <c r="K13" t="s">
        <v>243</v>
      </c>
    </row>
    <row r="14" spans="1:11" x14ac:dyDescent="0.25">
      <c r="A14" s="16">
        <v>9103</v>
      </c>
      <c r="B14" t="s">
        <v>244</v>
      </c>
      <c r="C14" t="s">
        <v>245</v>
      </c>
      <c r="E14">
        <f>CONCATENATE(C14," ",B14)</f>
      </c>
      <c r="F14" t="s">
        <v>246</v>
      </c>
      <c r="G14" t="s">
        <v>247</v>
      </c>
      <c r="H14" s="31"/>
      <c r="I14" t="s">
        <v>248</v>
      </c>
      <c r="J14" t="s">
        <v>230</v>
      </c>
      <c r="K14" t="s">
        <v>243</v>
      </c>
    </row>
    <row r="15" spans="1:11" x14ac:dyDescent="0.25">
      <c r="A15" s="16">
        <v>9104</v>
      </c>
      <c r="B15" t="s">
        <v>249</v>
      </c>
      <c r="C15" t="s">
        <v>250</v>
      </c>
      <c r="D15" t="s">
        <v>251</v>
      </c>
      <c r="E15">
        <f>CONCATENATE(C15," ",B15)</f>
      </c>
      <c r="F15" t="s">
        <v>252</v>
      </c>
      <c r="G15" t="s">
        <v>253</v>
      </c>
      <c r="H15" s="31"/>
      <c r="I15" t="s">
        <v>254</v>
      </c>
      <c r="J15" t="s">
        <v>230</v>
      </c>
      <c r="K15" t="s">
        <v>255</v>
      </c>
    </row>
    <row r="16" ht="15.75" customHeight="1" spans="1:12" x14ac:dyDescent="0.25">
      <c r="A16" s="16">
        <v>9105</v>
      </c>
      <c r="B16" t="s">
        <v>256</v>
      </c>
      <c r="C16" t="s">
        <v>257</v>
      </c>
      <c r="E16">
        <f>CONCATENATE(C16," ",B16)</f>
      </c>
      <c r="F16" t="s">
        <v>258</v>
      </c>
      <c r="G16" t="s">
        <v>259</v>
      </c>
      <c r="H16" s="31"/>
      <c r="I16" t="s">
        <v>229</v>
      </c>
      <c r="J16" t="s">
        <v>230</v>
      </c>
      <c r="K16" t="s">
        <v>260</v>
      </c>
      <c r="L16" s="38"/>
    </row>
    <row r="17" spans="1:11" x14ac:dyDescent="0.25">
      <c r="A17" s="16">
        <v>9106</v>
      </c>
      <c r="B17" t="s">
        <v>261</v>
      </c>
      <c r="C17" t="s">
        <v>262</v>
      </c>
      <c r="E17">
        <f>CONCATENATE(C17," ",B17)</f>
      </c>
      <c r="F17" t="s">
        <v>263</v>
      </c>
      <c r="G17" t="s">
        <v>264</v>
      </c>
      <c r="H17" s="31"/>
      <c r="I17" t="s">
        <v>265</v>
      </c>
      <c r="J17" t="s">
        <v>230</v>
      </c>
      <c r="K17" t="s">
        <v>266</v>
      </c>
    </row>
    <row r="18" spans="1:11" x14ac:dyDescent="0.25">
      <c r="A18" s="16">
        <v>9107</v>
      </c>
      <c r="B18" t="s">
        <v>267</v>
      </c>
      <c r="C18" t="s">
        <v>268</v>
      </c>
      <c r="D18" t="s">
        <v>269</v>
      </c>
      <c r="E18">
        <f>CONCATENATE(C18," ",B18)</f>
      </c>
      <c r="F18" t="s">
        <v>239</v>
      </c>
      <c r="G18" t="s">
        <v>240</v>
      </c>
      <c r="H18" s="31"/>
      <c r="I18" t="s">
        <v>229</v>
      </c>
      <c r="J18" t="s">
        <v>242</v>
      </c>
      <c r="K18" t="s">
        <v>255</v>
      </c>
    </row>
    <row r="19" spans="1:11" x14ac:dyDescent="0.25">
      <c r="A19" s="16">
        <v>9108</v>
      </c>
      <c r="B19" t="s">
        <v>270</v>
      </c>
      <c r="C19" t="s">
        <v>271</v>
      </c>
      <c r="E19">
        <f>CONCATENATE(C19," ",B19)</f>
      </c>
      <c r="F19" t="s">
        <v>272</v>
      </c>
      <c r="G19" t="s">
        <v>273</v>
      </c>
      <c r="H19" s="31"/>
      <c r="I19" t="s">
        <v>241</v>
      </c>
      <c r="J19" t="s">
        <v>230</v>
      </c>
      <c r="K19" t="s">
        <v>266</v>
      </c>
    </row>
    <row r="20" spans="1:11" x14ac:dyDescent="0.25">
      <c r="A20" s="16">
        <v>9109</v>
      </c>
      <c r="B20" t="s">
        <v>274</v>
      </c>
      <c r="C20" t="s">
        <v>275</v>
      </c>
      <c r="E20">
        <f>CONCATENATE(C20," ",B20)</f>
      </c>
      <c r="F20" t="s">
        <v>252</v>
      </c>
      <c r="G20" t="s">
        <v>253</v>
      </c>
      <c r="H20" s="31"/>
      <c r="I20" t="s">
        <v>276</v>
      </c>
      <c r="J20" t="s">
        <v>230</v>
      </c>
      <c r="K20" t="s">
        <v>277</v>
      </c>
    </row>
    <row r="21" spans="1:11" x14ac:dyDescent="0.25">
      <c r="A21" s="16">
        <v>9110</v>
      </c>
      <c r="B21" t="s">
        <v>278</v>
      </c>
      <c r="C21" t="s">
        <v>279</v>
      </c>
      <c r="E21">
        <f>CONCATENATE(C21," ",B21)</f>
      </c>
      <c r="F21" t="s">
        <v>280</v>
      </c>
      <c r="G21" t="s">
        <v>281</v>
      </c>
      <c r="H21" s="31"/>
      <c r="I21" t="s">
        <v>229</v>
      </c>
      <c r="J21" t="s">
        <v>230</v>
      </c>
      <c r="K21" t="s">
        <v>255</v>
      </c>
    </row>
    <row r="22" spans="1:11" x14ac:dyDescent="0.25">
      <c r="A22" s="16">
        <v>9111</v>
      </c>
      <c r="B22" t="s">
        <v>282</v>
      </c>
      <c r="C22" t="s">
        <v>283</v>
      </c>
      <c r="E22">
        <f>CONCATENATE(C22," ",B22)</f>
      </c>
      <c r="F22" t="s">
        <v>284</v>
      </c>
      <c r="G22" t="s">
        <v>285</v>
      </c>
      <c r="H22" s="31"/>
      <c r="I22" t="s">
        <v>276</v>
      </c>
      <c r="J22" t="s">
        <v>242</v>
      </c>
      <c r="K22" t="s">
        <v>286</v>
      </c>
    </row>
    <row r="23" spans="1:11" x14ac:dyDescent="0.25">
      <c r="A23" s="16">
        <v>9112</v>
      </c>
      <c r="B23" t="s">
        <v>287</v>
      </c>
      <c r="C23" t="s">
        <v>288</v>
      </c>
      <c r="E23">
        <f>CONCATENATE(C23," ",B23)</f>
      </c>
      <c r="F23" t="s">
        <v>252</v>
      </c>
      <c r="G23" t="s">
        <v>253</v>
      </c>
      <c r="H23" s="31"/>
      <c r="I23" t="s">
        <v>229</v>
      </c>
      <c r="J23" t="s">
        <v>230</v>
      </c>
      <c r="K23" t="s">
        <v>255</v>
      </c>
    </row>
    <row r="24" spans="1:11" x14ac:dyDescent="0.25">
      <c r="A24" s="16">
        <v>9113</v>
      </c>
      <c r="B24" t="s">
        <v>289</v>
      </c>
      <c r="C24" t="s">
        <v>290</v>
      </c>
      <c r="E24">
        <f>CONCATENATE(C24," ",B24)</f>
      </c>
      <c r="F24" t="s">
        <v>291</v>
      </c>
      <c r="G24" t="s">
        <v>292</v>
      </c>
      <c r="H24" s="31"/>
      <c r="I24" t="s">
        <v>241</v>
      </c>
      <c r="J24" t="s">
        <v>230</v>
      </c>
      <c r="K24" t="s">
        <v>231</v>
      </c>
    </row>
    <row r="25" spans="1:11" x14ac:dyDescent="0.25">
      <c r="A25" s="16">
        <v>9114</v>
      </c>
      <c r="B25" t="s">
        <v>293</v>
      </c>
      <c r="C25" t="s">
        <v>294</v>
      </c>
      <c r="E25">
        <f>CONCATENATE(C25," ",B25)</f>
      </c>
      <c r="F25" t="s">
        <v>295</v>
      </c>
      <c r="G25" t="s">
        <v>296</v>
      </c>
      <c r="H25" s="31"/>
      <c r="I25" t="s">
        <v>276</v>
      </c>
      <c r="J25" t="s">
        <v>230</v>
      </c>
      <c r="K25" t="s">
        <v>266</v>
      </c>
    </row>
    <row r="26" spans="1:11" x14ac:dyDescent="0.25">
      <c r="A26" s="16">
        <v>9115</v>
      </c>
      <c r="B26" t="s">
        <v>297</v>
      </c>
      <c r="C26" t="s">
        <v>298</v>
      </c>
      <c r="D26" t="s">
        <v>299</v>
      </c>
      <c r="E26">
        <f>CONCATENATE(C26," ",B26)</f>
      </c>
      <c r="F26" t="s">
        <v>227</v>
      </c>
      <c r="G26" t="s">
        <v>292</v>
      </c>
      <c r="H26" s="31"/>
      <c r="I26" t="s">
        <v>241</v>
      </c>
      <c r="J26" t="s">
        <v>230</v>
      </c>
      <c r="K26" t="s">
        <v>286</v>
      </c>
    </row>
    <row r="27" spans="1:11" x14ac:dyDescent="0.25">
      <c r="A27" s="16">
        <v>9116</v>
      </c>
      <c r="B27" t="s">
        <v>300</v>
      </c>
      <c r="C27" t="s">
        <v>301</v>
      </c>
      <c r="E27">
        <f>CONCATENATE(C27," ",B27)</f>
      </c>
      <c r="F27" t="s">
        <v>258</v>
      </c>
      <c r="G27" t="s">
        <v>259</v>
      </c>
      <c r="H27" s="31"/>
      <c r="I27" t="s">
        <v>276</v>
      </c>
      <c r="J27" t="s">
        <v>230</v>
      </c>
      <c r="K27" t="s">
        <v>286</v>
      </c>
    </row>
    <row r="28" spans="1:11" x14ac:dyDescent="0.25">
      <c r="A28" s="16">
        <v>9117</v>
      </c>
      <c r="B28" t="s">
        <v>302</v>
      </c>
      <c r="C28" t="s">
        <v>303</v>
      </c>
      <c r="E28">
        <f>CONCATENATE(C28," ",B28)</f>
      </c>
      <c r="F28" t="s">
        <v>252</v>
      </c>
      <c r="G28" t="s">
        <v>253</v>
      </c>
      <c r="H28" s="31"/>
      <c r="I28" t="s">
        <v>276</v>
      </c>
      <c r="J28" t="s">
        <v>230</v>
      </c>
      <c r="K28" t="s">
        <v>260</v>
      </c>
    </row>
    <row r="29" spans="1:11" x14ac:dyDescent="0.25">
      <c r="A29" s="16">
        <v>9118</v>
      </c>
      <c r="B29" t="s">
        <v>304</v>
      </c>
      <c r="C29" t="s">
        <v>268</v>
      </c>
      <c r="D29" t="s">
        <v>305</v>
      </c>
      <c r="E29">
        <f>CONCATENATE(C29," ",B29)</f>
      </c>
      <c r="F29" t="s">
        <v>246</v>
      </c>
      <c r="G29" t="s">
        <v>247</v>
      </c>
      <c r="H29" s="31"/>
      <c r="I29" t="s">
        <v>276</v>
      </c>
      <c r="J29" t="s">
        <v>230</v>
      </c>
      <c r="K29" t="s">
        <v>277</v>
      </c>
    </row>
    <row r="30" spans="1:11" x14ac:dyDescent="0.25">
      <c r="A30" s="16">
        <v>9119</v>
      </c>
      <c r="B30" t="s">
        <v>306</v>
      </c>
      <c r="C30" t="s">
        <v>307</v>
      </c>
      <c r="E30">
        <f>CONCATENATE(C30," ",B30)</f>
      </c>
      <c r="F30" t="s">
        <v>308</v>
      </c>
      <c r="G30" t="s">
        <v>309</v>
      </c>
      <c r="H30" s="31"/>
      <c r="I30" t="s">
        <v>276</v>
      </c>
      <c r="J30" t="s">
        <v>230</v>
      </c>
      <c r="K30" t="s">
        <v>236</v>
      </c>
    </row>
    <row r="31" spans="1:11" x14ac:dyDescent="0.25">
      <c r="A31" s="16">
        <v>9120</v>
      </c>
      <c r="B31" t="s">
        <v>310</v>
      </c>
      <c r="C31" t="s">
        <v>311</v>
      </c>
      <c r="D31" t="s">
        <v>312</v>
      </c>
      <c r="E31">
        <f>CONCATENATE(C31," ",B31)</f>
      </c>
      <c r="F31" t="s">
        <v>227</v>
      </c>
      <c r="G31" t="s">
        <v>228</v>
      </c>
      <c r="H31" s="31"/>
      <c r="I31" t="s">
        <v>276</v>
      </c>
      <c r="J31" t="s">
        <v>230</v>
      </c>
      <c r="K31" t="s">
        <v>266</v>
      </c>
    </row>
    <row r="32" spans="1:11" x14ac:dyDescent="0.25">
      <c r="A32" s="16">
        <v>9121</v>
      </c>
      <c r="B32" t="s">
        <v>313</v>
      </c>
      <c r="C32" t="s">
        <v>314</v>
      </c>
      <c r="D32" t="s">
        <v>315</v>
      </c>
      <c r="E32">
        <f>CONCATENATE(C32," ",B32)</f>
      </c>
      <c r="F32" t="s">
        <v>239</v>
      </c>
      <c r="G32" t="s">
        <v>240</v>
      </c>
      <c r="H32" s="31"/>
      <c r="I32" t="s">
        <v>241</v>
      </c>
      <c r="J32" t="s">
        <v>230</v>
      </c>
      <c r="K32" t="s">
        <v>260</v>
      </c>
    </row>
    <row r="33" spans="1:11" x14ac:dyDescent="0.25">
      <c r="A33" s="16">
        <v>9122</v>
      </c>
      <c r="B33" t="s">
        <v>316</v>
      </c>
      <c r="C33" t="s">
        <v>317</v>
      </c>
      <c r="D33" t="s">
        <v>318</v>
      </c>
      <c r="E33">
        <f>CONCATENATE(C33," ",B33)</f>
      </c>
      <c r="F33" t="s">
        <v>319</v>
      </c>
      <c r="G33" t="s">
        <v>320</v>
      </c>
      <c r="H33" s="31"/>
      <c r="I33" t="s">
        <v>276</v>
      </c>
      <c r="J33" t="s">
        <v>242</v>
      </c>
      <c r="K33" t="s">
        <v>286</v>
      </c>
    </row>
    <row r="34" spans="1:11" x14ac:dyDescent="0.25">
      <c r="A34" s="16">
        <v>9123</v>
      </c>
      <c r="B34" t="s">
        <v>321</v>
      </c>
      <c r="C34" t="s">
        <v>322</v>
      </c>
      <c r="E34">
        <f>CONCATENATE(C34," ",B34)</f>
      </c>
      <c r="F34" t="s">
        <v>323</v>
      </c>
      <c r="G34" t="s">
        <v>324</v>
      </c>
      <c r="H34" s="31"/>
      <c r="I34" t="s">
        <v>229</v>
      </c>
      <c r="J34" t="s">
        <v>230</v>
      </c>
      <c r="K34" t="s">
        <v>243</v>
      </c>
    </row>
    <row r="35" spans="1:11" x14ac:dyDescent="0.25">
      <c r="A35" s="16">
        <v>9124</v>
      </c>
      <c r="B35" t="s">
        <v>325</v>
      </c>
      <c r="C35" t="s">
        <v>326</v>
      </c>
      <c r="D35" t="s">
        <v>327</v>
      </c>
      <c r="E35">
        <f>CONCATENATE(C35," ",B35)</f>
      </c>
      <c r="F35" t="s">
        <v>239</v>
      </c>
      <c r="G35" t="s">
        <v>240</v>
      </c>
      <c r="H35" s="31"/>
      <c r="I35" t="s">
        <v>276</v>
      </c>
      <c r="J35" t="s">
        <v>230</v>
      </c>
      <c r="K35" t="s">
        <v>255</v>
      </c>
    </row>
    <row r="36" spans="1:11" x14ac:dyDescent="0.25">
      <c r="A36" s="16">
        <v>9125</v>
      </c>
      <c r="B36" t="s">
        <v>328</v>
      </c>
      <c r="C36" t="s">
        <v>329</v>
      </c>
      <c r="D36" t="s">
        <v>305</v>
      </c>
      <c r="E36">
        <f>CONCATENATE(C36," ",B36)</f>
      </c>
      <c r="F36" t="s">
        <v>323</v>
      </c>
      <c r="G36" t="s">
        <v>324</v>
      </c>
      <c r="H36" s="31"/>
      <c r="I36" t="s">
        <v>229</v>
      </c>
      <c r="J36" t="s">
        <v>230</v>
      </c>
      <c r="K36" t="s">
        <v>236</v>
      </c>
    </row>
    <row r="37" spans="1:11" x14ac:dyDescent="0.25">
      <c r="A37" s="16">
        <v>9126</v>
      </c>
      <c r="B37" t="s">
        <v>330</v>
      </c>
      <c r="C37" t="s">
        <v>331</v>
      </c>
      <c r="D37" t="s">
        <v>327</v>
      </c>
      <c r="E37">
        <f>CONCATENATE(C37," ",B37)</f>
      </c>
      <c r="F37" t="s">
        <v>295</v>
      </c>
      <c r="G37" t="s">
        <v>296</v>
      </c>
      <c r="H37" s="31"/>
      <c r="I37" t="s">
        <v>229</v>
      </c>
      <c r="J37" t="s">
        <v>242</v>
      </c>
      <c r="K37" t="s">
        <v>255</v>
      </c>
    </row>
    <row r="38" spans="1:11" x14ac:dyDescent="0.25">
      <c r="A38" s="16">
        <v>9127</v>
      </c>
      <c r="B38" t="s">
        <v>332</v>
      </c>
      <c r="C38" t="s">
        <v>333</v>
      </c>
      <c r="E38">
        <f>CONCATENATE(C38," ",B38)</f>
      </c>
      <c r="F38" t="s">
        <v>252</v>
      </c>
      <c r="G38" t="s">
        <v>253</v>
      </c>
      <c r="H38" s="31"/>
      <c r="I38" t="s">
        <v>229</v>
      </c>
      <c r="J38" t="s">
        <v>230</v>
      </c>
      <c r="K38" t="s">
        <v>236</v>
      </c>
    </row>
    <row r="39" spans="1:11" x14ac:dyDescent="0.25">
      <c r="A39" s="16">
        <v>9128</v>
      </c>
      <c r="B39" t="s">
        <v>334</v>
      </c>
      <c r="C39" t="s">
        <v>124</v>
      </c>
      <c r="D39" t="s">
        <v>335</v>
      </c>
      <c r="E39">
        <f>CONCATENATE(C39," ",B39)</f>
      </c>
      <c r="F39" t="s">
        <v>336</v>
      </c>
      <c r="G39" t="s">
        <v>247</v>
      </c>
      <c r="H39" s="31"/>
      <c r="I39" t="s">
        <v>337</v>
      </c>
      <c r="J39" t="s">
        <v>242</v>
      </c>
      <c r="K39" t="s">
        <v>231</v>
      </c>
    </row>
    <row r="40" spans="1:11" x14ac:dyDescent="0.25">
      <c r="A40" s="16">
        <v>9129</v>
      </c>
      <c r="B40" t="s">
        <v>338</v>
      </c>
      <c r="C40" t="s">
        <v>339</v>
      </c>
      <c r="D40" t="s">
        <v>340</v>
      </c>
      <c r="E40">
        <f>CONCATENATE(C40," ",B40)</f>
      </c>
      <c r="F40" t="s">
        <v>239</v>
      </c>
      <c r="G40" t="s">
        <v>240</v>
      </c>
      <c r="H40" s="31"/>
      <c r="I40" t="s">
        <v>241</v>
      </c>
      <c r="J40" t="s">
        <v>230</v>
      </c>
      <c r="K40" t="s">
        <v>255</v>
      </c>
    </row>
    <row r="41" spans="1:11" x14ac:dyDescent="0.25">
      <c r="A41" s="16">
        <v>9130</v>
      </c>
      <c r="B41" t="s">
        <v>341</v>
      </c>
      <c r="C41" t="s">
        <v>342</v>
      </c>
      <c r="D41" t="s">
        <v>343</v>
      </c>
      <c r="E41">
        <f>CONCATENATE(C41," ",B41)</f>
      </c>
      <c r="F41" t="s">
        <v>239</v>
      </c>
      <c r="G41" t="s">
        <v>240</v>
      </c>
      <c r="H41" s="31"/>
      <c r="I41" t="s">
        <v>229</v>
      </c>
      <c r="J41" t="s">
        <v>230</v>
      </c>
      <c r="K41" t="s">
        <v>255</v>
      </c>
    </row>
    <row r="42" spans="1:11" x14ac:dyDescent="0.25">
      <c r="A42" s="16">
        <v>9131</v>
      </c>
      <c r="B42" t="s">
        <v>344</v>
      </c>
      <c r="C42" t="s">
        <v>345</v>
      </c>
      <c r="D42" t="s">
        <v>269</v>
      </c>
      <c r="E42">
        <f>CONCATENATE(C42," ",B42)</f>
      </c>
      <c r="F42" t="s">
        <v>346</v>
      </c>
      <c r="G42" t="s">
        <v>347</v>
      </c>
      <c r="H42" s="31"/>
      <c r="I42" t="s">
        <v>229</v>
      </c>
      <c r="J42" t="s">
        <v>230</v>
      </c>
      <c r="K42" t="s">
        <v>266</v>
      </c>
    </row>
    <row r="43" spans="1:11" x14ac:dyDescent="0.25">
      <c r="A43" s="16">
        <v>9132</v>
      </c>
      <c r="B43" t="s">
        <v>348</v>
      </c>
      <c r="C43" t="s">
        <v>349</v>
      </c>
      <c r="D43" t="s">
        <v>305</v>
      </c>
      <c r="E43">
        <f>CONCATENATE(C43," ",B43)</f>
      </c>
      <c r="F43" t="s">
        <v>291</v>
      </c>
      <c r="G43" t="s">
        <v>292</v>
      </c>
      <c r="H43" s="31"/>
      <c r="I43" t="s">
        <v>241</v>
      </c>
      <c r="J43" t="s">
        <v>230</v>
      </c>
      <c r="K43" t="s">
        <v>286</v>
      </c>
    </row>
    <row r="44" spans="1:11" x14ac:dyDescent="0.25">
      <c r="A44" s="16">
        <v>9133</v>
      </c>
      <c r="B44" t="s">
        <v>350</v>
      </c>
      <c r="C44" t="s">
        <v>351</v>
      </c>
      <c r="D44" t="s">
        <v>315</v>
      </c>
      <c r="E44">
        <f>CONCATENATE(C44," ",B44)</f>
      </c>
      <c r="F44" t="s">
        <v>295</v>
      </c>
      <c r="G44" t="s">
        <v>296</v>
      </c>
      <c r="H44" s="31"/>
      <c r="I44" t="s">
        <v>241</v>
      </c>
      <c r="J44" t="s">
        <v>230</v>
      </c>
      <c r="K44" t="s">
        <v>260</v>
      </c>
    </row>
    <row r="45" spans="1:11" x14ac:dyDescent="0.25">
      <c r="A45" s="16">
        <v>9134</v>
      </c>
      <c r="B45" t="s">
        <v>352</v>
      </c>
      <c r="C45" t="s">
        <v>353</v>
      </c>
      <c r="D45" t="s">
        <v>299</v>
      </c>
      <c r="E45">
        <f>CONCATENATE(C45," ",B45)</f>
      </c>
      <c r="F45" t="s">
        <v>227</v>
      </c>
      <c r="G45" t="s">
        <v>228</v>
      </c>
      <c r="H45" s="31"/>
      <c r="I45" t="s">
        <v>276</v>
      </c>
      <c r="J45" t="s">
        <v>242</v>
      </c>
      <c r="K45" t="s">
        <v>277</v>
      </c>
    </row>
    <row r="46" spans="1:11" x14ac:dyDescent="0.25">
      <c r="A46" s="16">
        <v>9135</v>
      </c>
      <c r="B46" t="s">
        <v>354</v>
      </c>
      <c r="C46" t="s">
        <v>355</v>
      </c>
      <c r="D46" t="s">
        <v>251</v>
      </c>
      <c r="E46">
        <f>CONCATENATE(C46," ",B46)</f>
      </c>
      <c r="F46" t="s">
        <v>239</v>
      </c>
      <c r="G46" t="s">
        <v>240</v>
      </c>
      <c r="H46" s="31"/>
      <c r="I46" t="s">
        <v>248</v>
      </c>
      <c r="J46" t="s">
        <v>230</v>
      </c>
      <c r="K46" t="s">
        <v>266</v>
      </c>
    </row>
    <row r="47" spans="1:11" x14ac:dyDescent="0.25">
      <c r="A47" s="16">
        <v>9136</v>
      </c>
      <c r="B47" t="s">
        <v>356</v>
      </c>
      <c r="C47" t="s">
        <v>357</v>
      </c>
      <c r="D47" t="s">
        <v>343</v>
      </c>
      <c r="E47">
        <f>CONCATENATE(C47," ",B47)</f>
      </c>
      <c r="F47" t="s">
        <v>239</v>
      </c>
      <c r="G47" t="s">
        <v>240</v>
      </c>
      <c r="H47" s="31"/>
      <c r="I47" t="s">
        <v>248</v>
      </c>
      <c r="J47" t="s">
        <v>230</v>
      </c>
      <c r="K47" t="s">
        <v>260</v>
      </c>
    </row>
    <row r="48" spans="1:11" x14ac:dyDescent="0.25">
      <c r="A48" s="16">
        <v>9137</v>
      </c>
      <c r="B48" t="s">
        <v>358</v>
      </c>
      <c r="C48" t="s">
        <v>359</v>
      </c>
      <c r="D48" t="s">
        <v>299</v>
      </c>
      <c r="E48">
        <f>CONCATENATE(C48," ",B48)</f>
      </c>
      <c r="F48" t="s">
        <v>280</v>
      </c>
      <c r="G48" t="s">
        <v>281</v>
      </c>
      <c r="H48" s="31"/>
      <c r="I48" t="s">
        <v>241</v>
      </c>
      <c r="J48" t="s">
        <v>230</v>
      </c>
      <c r="K48" t="s">
        <v>236</v>
      </c>
    </row>
    <row r="49" spans="1:11" x14ac:dyDescent="0.25">
      <c r="A49" s="16">
        <v>9138</v>
      </c>
      <c r="B49" t="s">
        <v>360</v>
      </c>
      <c r="C49" t="s">
        <v>361</v>
      </c>
      <c r="D49" t="s">
        <v>362</v>
      </c>
      <c r="E49">
        <f>CONCATENATE(C49," ",B49)</f>
      </c>
      <c r="F49" t="s">
        <v>239</v>
      </c>
      <c r="G49" t="s">
        <v>240</v>
      </c>
      <c r="H49" s="31"/>
      <c r="I49" t="s">
        <v>229</v>
      </c>
      <c r="J49" t="s">
        <v>230</v>
      </c>
      <c r="K49" t="s">
        <v>260</v>
      </c>
    </row>
    <row r="50" spans="1:11" x14ac:dyDescent="0.25">
      <c r="A50" s="16">
        <v>9139</v>
      </c>
      <c r="B50" t="s">
        <v>363</v>
      </c>
      <c r="C50" t="s">
        <v>364</v>
      </c>
      <c r="E50">
        <f>CONCATENATE(C50," ",B50)</f>
      </c>
      <c r="F50" t="s">
        <v>284</v>
      </c>
      <c r="G50" t="s">
        <v>285</v>
      </c>
      <c r="H50" s="31"/>
      <c r="I50" t="s">
        <v>241</v>
      </c>
      <c r="J50" t="s">
        <v>242</v>
      </c>
      <c r="K50" t="s">
        <v>243</v>
      </c>
    </row>
    <row r="51" spans="1:11" x14ac:dyDescent="0.25">
      <c r="A51" s="16">
        <v>9140</v>
      </c>
      <c r="B51" t="s">
        <v>365</v>
      </c>
      <c r="C51" t="s">
        <v>366</v>
      </c>
      <c r="D51" t="s">
        <v>299</v>
      </c>
      <c r="E51">
        <f>CONCATENATE(C51," ",B51)</f>
      </c>
      <c r="F51" t="s">
        <v>291</v>
      </c>
      <c r="G51" t="s">
        <v>292</v>
      </c>
      <c r="H51" s="31"/>
      <c r="I51" t="s">
        <v>229</v>
      </c>
      <c r="J51" t="s">
        <v>230</v>
      </c>
      <c r="K51" t="s">
        <v>255</v>
      </c>
    </row>
  </sheetData>
  <mergeCells count="7">
    <mergeCell ref="A1:C1"/>
    <mergeCell ref="K3:N4"/>
    <mergeCell ref="C4:I4"/>
    <mergeCell ref="C5:I5"/>
    <mergeCell ref="K5:N6"/>
    <mergeCell ref="F7:I9"/>
    <mergeCell ref="K7:N9"/>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0" customWidth="1"/>
    <col min="2" max="24" width="13.571428571428571" customWidth="1"/>
  </cols>
  <sheetData>
    <row r="1" spans="1:2" x14ac:dyDescent="0.25">
      <c r="A1" s="15" t="s">
        <v>166</v>
      </c>
      <c r="B1" s="15" t="s">
        <v>123</v>
      </c>
    </row>
    <row r="2" spans="1:2" x14ac:dyDescent="0.25">
      <c r="A2" t="s">
        <v>367</v>
      </c>
      <c r="B2" s="31">
        <v>23</v>
      </c>
    </row>
    <row r="3" spans="1:2" x14ac:dyDescent="0.25">
      <c r="A3" t="s">
        <v>281</v>
      </c>
      <c r="B3" s="31">
        <v>25</v>
      </c>
    </row>
    <row r="4" spans="1:2" x14ac:dyDescent="0.25">
      <c r="A4" t="s">
        <v>228</v>
      </c>
      <c r="B4" s="31">
        <v>27</v>
      </c>
    </row>
    <row r="5" spans="1:2" x14ac:dyDescent="0.25">
      <c r="A5" t="s">
        <v>240</v>
      </c>
      <c r="B5" s="31">
        <v>86</v>
      </c>
    </row>
    <row r="6" spans="1:2" x14ac:dyDescent="0.25">
      <c r="A6" t="s">
        <v>368</v>
      </c>
      <c r="B6" s="31">
        <v>21</v>
      </c>
    </row>
    <row r="7" spans="1:2" x14ac:dyDescent="0.25">
      <c r="A7" t="s">
        <v>309</v>
      </c>
      <c r="B7" s="31">
        <v>60</v>
      </c>
    </row>
    <row r="8" spans="1:2" x14ac:dyDescent="0.25">
      <c r="A8" t="s">
        <v>285</v>
      </c>
      <c r="B8" s="31">
        <v>58</v>
      </c>
    </row>
    <row r="9" spans="1:2" x14ac:dyDescent="0.25">
      <c r="A9" t="s">
        <v>253</v>
      </c>
      <c r="B9" s="31">
        <v>74</v>
      </c>
    </row>
    <row r="10" spans="1:2" x14ac:dyDescent="0.25">
      <c r="A10" t="s">
        <v>369</v>
      </c>
      <c r="B10" s="31">
        <v>26</v>
      </c>
    </row>
    <row r="11" spans="1:2" x14ac:dyDescent="0.25">
      <c r="A11" t="s">
        <v>296</v>
      </c>
      <c r="B11" s="31">
        <v>49</v>
      </c>
    </row>
    <row r="12" spans="1:2" x14ac:dyDescent="0.25">
      <c r="A12" t="s">
        <v>235</v>
      </c>
      <c r="B12" s="31">
        <v>36</v>
      </c>
    </row>
    <row r="13" spans="1:2" x14ac:dyDescent="0.25">
      <c r="A13" t="s">
        <v>292</v>
      </c>
      <c r="B13" s="31">
        <v>58</v>
      </c>
    </row>
    <row r="14" spans="1:2" x14ac:dyDescent="0.25">
      <c r="A14" t="s">
        <v>320</v>
      </c>
      <c r="B14" s="31">
        <v>85</v>
      </c>
    </row>
    <row r="15" spans="1:2" x14ac:dyDescent="0.25">
      <c r="A15" t="s">
        <v>259</v>
      </c>
      <c r="B15" s="31">
        <v>81</v>
      </c>
    </row>
    <row r="16" spans="1:2" x14ac:dyDescent="0.25">
      <c r="A16" t="s">
        <v>370</v>
      </c>
      <c r="B16" s="31">
        <v>68</v>
      </c>
    </row>
    <row r="17" spans="1:2" x14ac:dyDescent="0.25">
      <c r="A17" t="s">
        <v>371</v>
      </c>
      <c r="B17" s="31">
        <v>42</v>
      </c>
    </row>
    <row r="18" spans="1:2" x14ac:dyDescent="0.25">
      <c r="A18" t="s">
        <v>247</v>
      </c>
      <c r="B18" s="31">
        <v>46</v>
      </c>
    </row>
    <row r="19" spans="1:2" x14ac:dyDescent="0.25">
      <c r="A19" t="s">
        <v>264</v>
      </c>
      <c r="B19" s="31">
        <v>75</v>
      </c>
    </row>
    <row r="20" spans="1:2" x14ac:dyDescent="0.25">
      <c r="A20" t="s">
        <v>372</v>
      </c>
      <c r="B20" s="31">
        <v>20</v>
      </c>
    </row>
    <row r="21" spans="1:2" x14ac:dyDescent="0.25">
      <c r="A21" t="s">
        <v>324</v>
      </c>
      <c r="B21" s="31">
        <v>24</v>
      </c>
    </row>
    <row r="22" spans="1:2" x14ac:dyDescent="0.25">
      <c r="A22" t="s">
        <v>373</v>
      </c>
      <c r="B22" s="31">
        <v>35</v>
      </c>
    </row>
    <row r="23" spans="1:2" x14ac:dyDescent="0.25">
      <c r="A23" t="s">
        <v>347</v>
      </c>
      <c r="B23" s="31">
        <v>41</v>
      </c>
    </row>
    <row r="24" spans="1:2" x14ac:dyDescent="0.25">
      <c r="A24" t="s">
        <v>273</v>
      </c>
      <c r="B24" s="31">
        <v>64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FormatPr defaultRowHeight="15" outlineLevelRow="0" outlineLevelCol="0" x14ac:dyDescent="55"/>
  <cols>
    <col min="1" max="1" width="12.571428571428571" customWidth="1"/>
    <col min="2" max="2" width="12.285714285714286" customWidth="1"/>
    <col min="3" max="24" width="13.571428571428571" customWidth="1"/>
  </cols>
  <sheetData>
    <row r="1" spans="1:3" x14ac:dyDescent="0.25">
      <c r="A1" s="15" t="s">
        <v>374</v>
      </c>
      <c r="B1" s="15" t="s">
        <v>375</v>
      </c>
      <c r="C1" s="15" t="s">
        <v>376</v>
      </c>
    </row>
    <row r="2" ht="21" customHeight="1" spans="1:11" x14ac:dyDescent="0.25">
      <c r="A2" s="16">
        <v>9100</v>
      </c>
      <c r="B2">
        <v>86</v>
      </c>
      <c r="K2" s="96" t="s">
        <v>377</v>
      </c>
    </row>
    <row r="3" ht="15.75" customHeight="1" spans="1:23" x14ac:dyDescent="0.25">
      <c r="A3" s="16">
        <v>9101</v>
      </c>
      <c r="B3">
        <v>97</v>
      </c>
      <c r="F3" s="15" t="s">
        <v>378</v>
      </c>
      <c r="G3" s="15" t="s">
        <v>376</v>
      </c>
      <c r="K3" s="100" t="s">
        <v>379</v>
      </c>
      <c r="L3" s="38"/>
      <c r="M3" s="38"/>
      <c r="N3" s="38"/>
      <c r="O3" s="38"/>
      <c r="P3" s="38"/>
      <c r="Q3" s="38"/>
      <c r="R3" s="38"/>
      <c r="S3" s="38"/>
      <c r="T3" s="16"/>
      <c r="U3" s="16"/>
      <c r="V3" s="16"/>
      <c r="W3" s="16"/>
    </row>
    <row r="4" ht="15.75" customHeight="1" spans="1:23" x14ac:dyDescent="0.25">
      <c r="A4" s="16">
        <v>9102</v>
      </c>
      <c r="B4">
        <v>90</v>
      </c>
      <c r="F4">
        <v>50</v>
      </c>
      <c r="G4" t="s">
        <v>380</v>
      </c>
      <c r="K4" s="101" t="s">
        <v>381</v>
      </c>
      <c r="L4" s="38"/>
      <c r="M4" s="38"/>
      <c r="N4" s="38"/>
      <c r="O4" s="38"/>
      <c r="P4" s="38"/>
      <c r="Q4" s="38"/>
      <c r="R4" s="38"/>
      <c r="S4" s="38"/>
      <c r="T4" s="16"/>
      <c r="U4" s="16"/>
      <c r="V4" s="16"/>
      <c r="W4" s="16"/>
    </row>
    <row r="5" ht="15.75" customHeight="1" spans="1:23" x14ac:dyDescent="0.25">
      <c r="A5" s="16">
        <v>9103</v>
      </c>
      <c r="B5">
        <v>79</v>
      </c>
      <c r="F5">
        <v>60</v>
      </c>
      <c r="G5" t="s">
        <v>343</v>
      </c>
      <c r="K5" s="101" t="s">
        <v>382</v>
      </c>
      <c r="L5" s="38"/>
      <c r="M5" s="38"/>
      <c r="N5" s="38"/>
      <c r="O5" s="38"/>
      <c r="P5" s="38"/>
      <c r="Q5" s="38"/>
      <c r="R5" s="38"/>
      <c r="S5" s="38"/>
      <c r="T5" s="16"/>
      <c r="U5" s="16"/>
      <c r="V5" s="16"/>
      <c r="W5" s="16"/>
    </row>
    <row r="6" ht="15.75" customHeight="1" spans="1:23" x14ac:dyDescent="0.25">
      <c r="A6" s="16">
        <v>9104</v>
      </c>
      <c r="B6">
        <v>97</v>
      </c>
      <c r="F6">
        <v>70</v>
      </c>
      <c r="G6" t="s">
        <v>269</v>
      </c>
      <c r="K6" s="101" t="s">
        <v>383</v>
      </c>
      <c r="L6" s="38"/>
      <c r="M6" s="38"/>
      <c r="N6" s="38"/>
      <c r="O6" s="38"/>
      <c r="P6" s="38"/>
      <c r="Q6" s="38"/>
      <c r="R6" s="38"/>
      <c r="S6" s="38"/>
      <c r="T6" s="16"/>
      <c r="U6" s="16"/>
      <c r="V6" s="16"/>
      <c r="W6" s="16"/>
    </row>
    <row r="7" ht="15.75" customHeight="1" spans="1:23" x14ac:dyDescent="0.25">
      <c r="A7" s="16">
        <v>9105</v>
      </c>
      <c r="B7">
        <v>95</v>
      </c>
      <c r="F7">
        <v>80</v>
      </c>
      <c r="G7" t="s">
        <v>315</v>
      </c>
      <c r="H7" s="15"/>
      <c r="I7" s="15"/>
      <c r="K7" s="101" t="s">
        <v>384</v>
      </c>
      <c r="L7" s="38"/>
      <c r="M7" s="38"/>
      <c r="N7" s="38"/>
      <c r="O7" s="38"/>
      <c r="P7" s="38"/>
      <c r="Q7" s="38"/>
      <c r="R7" s="38"/>
      <c r="S7" s="38"/>
      <c r="T7" s="16"/>
      <c r="U7" s="16"/>
      <c r="V7" s="16"/>
      <c r="W7" s="16"/>
    </row>
    <row r="8" ht="15.75" customHeight="1" spans="1:23" x14ac:dyDescent="0.25">
      <c r="A8" s="16">
        <v>9106</v>
      </c>
      <c r="B8">
        <v>90</v>
      </c>
      <c r="F8">
        <v>90</v>
      </c>
      <c r="G8" t="s">
        <v>251</v>
      </c>
      <c r="K8" s="101" t="s">
        <v>385</v>
      </c>
      <c r="L8" s="38"/>
      <c r="M8" s="38"/>
      <c r="N8" s="38"/>
      <c r="O8" s="38"/>
      <c r="P8" s="38"/>
      <c r="Q8" s="38"/>
      <c r="R8" s="38"/>
      <c r="S8" s="38"/>
      <c r="T8" s="16"/>
      <c r="U8" s="16"/>
      <c r="V8" s="16"/>
      <c r="W8" s="16"/>
    </row>
    <row r="9" ht="15.75" customHeight="1" spans="1:23" x14ac:dyDescent="0.25">
      <c r="A9" s="16">
        <v>9107</v>
      </c>
      <c r="B9">
        <v>77</v>
      </c>
      <c r="K9" s="101" t="s">
        <v>386</v>
      </c>
      <c r="L9" s="38"/>
      <c r="M9" s="38"/>
      <c r="N9" s="38"/>
      <c r="O9" s="38"/>
      <c r="P9" s="38"/>
      <c r="Q9" s="38"/>
      <c r="R9" s="38"/>
      <c r="S9" s="38"/>
      <c r="T9" s="16"/>
      <c r="U9" s="16"/>
      <c r="V9" s="16"/>
      <c r="W9" s="16"/>
    </row>
    <row r="10" ht="15.75" customHeight="1" spans="1:23" x14ac:dyDescent="0.25">
      <c r="A10" s="16">
        <v>9108</v>
      </c>
      <c r="B10">
        <v>75</v>
      </c>
      <c r="K10" s="101" t="s">
        <v>387</v>
      </c>
      <c r="L10" s="38"/>
      <c r="M10" s="38"/>
      <c r="N10" s="38"/>
      <c r="O10" s="38"/>
      <c r="P10" s="38"/>
      <c r="Q10" s="38"/>
      <c r="R10" s="38"/>
      <c r="S10" s="38"/>
      <c r="T10" s="16"/>
      <c r="U10" s="16"/>
      <c r="V10" s="16"/>
      <c r="W10" s="16"/>
    </row>
    <row r="11" spans="1:2" x14ac:dyDescent="0.25">
      <c r="A11" s="16">
        <v>9109</v>
      </c>
      <c r="B11">
        <v>100</v>
      </c>
    </row>
    <row r="12" spans="1:2" x14ac:dyDescent="0.25">
      <c r="A12" s="16">
        <v>9110</v>
      </c>
      <c r="B12">
        <v>81</v>
      </c>
    </row>
    <row r="13" spans="1:2" x14ac:dyDescent="0.25">
      <c r="A13" s="16">
        <v>9111</v>
      </c>
      <c r="B13">
        <v>99</v>
      </c>
    </row>
    <row r="14" spans="1:2" x14ac:dyDescent="0.25">
      <c r="A14" s="16">
        <v>9112</v>
      </c>
      <c r="B14">
        <v>86</v>
      </c>
    </row>
    <row r="15" spans="1:2" x14ac:dyDescent="0.25">
      <c r="A15" s="16">
        <v>9113</v>
      </c>
      <c r="B15">
        <v>84</v>
      </c>
    </row>
    <row r="16" spans="1:2" x14ac:dyDescent="0.25">
      <c r="A16" s="16">
        <v>9114</v>
      </c>
      <c r="B16">
        <v>84</v>
      </c>
    </row>
    <row r="17" spans="1:2" x14ac:dyDescent="0.25">
      <c r="A17" s="16">
        <v>9115</v>
      </c>
      <c r="B17">
        <v>89</v>
      </c>
    </row>
    <row r="18" spans="1:2" x14ac:dyDescent="0.25">
      <c r="A18" s="16">
        <v>9116</v>
      </c>
      <c r="B18">
        <v>51</v>
      </c>
    </row>
    <row r="19" spans="1:2" x14ac:dyDescent="0.25">
      <c r="A19" s="16">
        <v>9117</v>
      </c>
      <c r="B19">
        <v>58</v>
      </c>
    </row>
    <row r="20" spans="1:2" x14ac:dyDescent="0.25">
      <c r="A20" s="16">
        <v>9118</v>
      </c>
      <c r="B20">
        <v>95</v>
      </c>
    </row>
    <row r="21" spans="1:2" x14ac:dyDescent="0.25">
      <c r="A21" s="16">
        <v>9119</v>
      </c>
      <c r="B21">
        <v>62</v>
      </c>
    </row>
    <row r="22" spans="1:2" x14ac:dyDescent="0.25">
      <c r="A22" s="16">
        <v>9120</v>
      </c>
      <c r="B22">
        <v>69</v>
      </c>
    </row>
    <row r="23" spans="1:2" x14ac:dyDescent="0.25">
      <c r="A23" s="16">
        <v>9121</v>
      </c>
      <c r="B23">
        <v>83</v>
      </c>
    </row>
    <row r="24" spans="1:2" x14ac:dyDescent="0.25">
      <c r="A24" s="16">
        <v>9122</v>
      </c>
      <c r="B24">
        <v>94</v>
      </c>
    </row>
    <row r="25" spans="1:2" x14ac:dyDescent="0.25">
      <c r="A25" s="16">
        <v>9123</v>
      </c>
      <c r="B25">
        <v>92</v>
      </c>
    </row>
    <row r="26" spans="1:2" x14ac:dyDescent="0.25">
      <c r="A26" s="16">
        <v>9124</v>
      </c>
      <c r="B26">
        <v>85</v>
      </c>
    </row>
    <row r="27" spans="1:2" x14ac:dyDescent="0.25">
      <c r="A27" s="16">
        <v>9125</v>
      </c>
      <c r="B27">
        <v>78</v>
      </c>
    </row>
    <row r="28" spans="1:2" x14ac:dyDescent="0.25">
      <c r="A28" s="16">
        <v>9126</v>
      </c>
      <c r="B28">
        <v>56</v>
      </c>
    </row>
    <row r="29" spans="1:2" x14ac:dyDescent="0.25">
      <c r="A29" s="16">
        <v>9127</v>
      </c>
      <c r="B29">
        <v>98</v>
      </c>
    </row>
    <row r="30" spans="1:2" x14ac:dyDescent="0.25">
      <c r="A30" s="16">
        <v>9128</v>
      </c>
      <c r="B30">
        <v>78</v>
      </c>
    </row>
    <row r="31" spans="1:2" x14ac:dyDescent="0.25">
      <c r="A31" s="16">
        <v>9129</v>
      </c>
      <c r="B31">
        <v>59</v>
      </c>
    </row>
    <row r="32" spans="1:2" x14ac:dyDescent="0.25">
      <c r="A32" s="16">
        <v>9130</v>
      </c>
      <c r="B32">
        <v>62</v>
      </c>
    </row>
    <row r="33" spans="1:2" x14ac:dyDescent="0.25">
      <c r="A33" s="16">
        <v>9131</v>
      </c>
      <c r="B33">
        <v>89</v>
      </c>
    </row>
    <row r="34" spans="1:2" x14ac:dyDescent="0.25">
      <c r="A34" s="16">
        <v>9132</v>
      </c>
      <c r="B34">
        <v>93</v>
      </c>
    </row>
    <row r="35" spans="1:2" x14ac:dyDescent="0.25">
      <c r="A35" s="16">
        <v>9133</v>
      </c>
      <c r="B35">
        <v>98</v>
      </c>
    </row>
    <row r="36" spans="1:2" x14ac:dyDescent="0.25">
      <c r="A36" s="16">
        <v>9134</v>
      </c>
      <c r="B36">
        <v>91</v>
      </c>
    </row>
    <row r="37" spans="1:2" x14ac:dyDescent="0.25">
      <c r="A37" s="16">
        <v>9135</v>
      </c>
      <c r="B37">
        <v>82</v>
      </c>
    </row>
    <row r="38" spans="1:2" x14ac:dyDescent="0.25">
      <c r="A38" s="16">
        <v>9136</v>
      </c>
      <c r="B38">
        <v>99</v>
      </c>
    </row>
    <row r="39" spans="1:2" x14ac:dyDescent="0.25">
      <c r="A39" s="16">
        <v>9137</v>
      </c>
      <c r="B39">
        <v>90</v>
      </c>
    </row>
    <row r="40" spans="1:2" x14ac:dyDescent="0.25">
      <c r="A40" s="16">
        <v>9138</v>
      </c>
      <c r="B40">
        <v>63</v>
      </c>
    </row>
    <row r="41" spans="1:2" x14ac:dyDescent="0.25">
      <c r="A41" s="16">
        <v>9139</v>
      </c>
      <c r="B41">
        <v>82</v>
      </c>
    </row>
    <row r="42" spans="1:2" x14ac:dyDescent="0.25">
      <c r="A42" s="16">
        <v>9140</v>
      </c>
      <c r="B42">
        <v>91</v>
      </c>
    </row>
    <row r="43" spans="1:2" x14ac:dyDescent="0.25">
      <c r="A43" s="16">
        <v>9138</v>
      </c>
      <c r="B43">
        <v>78</v>
      </c>
    </row>
    <row r="44" spans="1:2" x14ac:dyDescent="0.25">
      <c r="A44" s="16">
        <v>9139</v>
      </c>
      <c r="B44">
        <v>72</v>
      </c>
    </row>
    <row r="45" spans="1:2" x14ac:dyDescent="0.25">
      <c r="A45" s="16">
        <v>9140</v>
      </c>
      <c r="B45">
        <v>59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1" width="16.571428571428573" customWidth="1"/>
    <col min="2" max="2" width="13" customWidth="1"/>
    <col min="3" max="3" width="9.285714285714286" customWidth="1"/>
    <col min="4" max="24" width="13.571428571428571" customWidth="1"/>
  </cols>
  <sheetData>
    <row r="1" spans="1:3" x14ac:dyDescent="0.25">
      <c r="A1" s="61" t="s">
        <v>42</v>
      </c>
      <c r="B1" s="7" t="s">
        <v>43</v>
      </c>
      <c r="C1" s="7" t="s">
        <v>44</v>
      </c>
    </row>
    <row r="2" spans="1:3" x14ac:dyDescent="0.25">
      <c r="A2" s="10" t="s">
        <v>46</v>
      </c>
      <c r="B2" s="91">
        <v>79</v>
      </c>
      <c r="C2" s="91"/>
    </row>
    <row r="3" spans="1:3" x14ac:dyDescent="0.25">
      <c r="A3" s="10" t="s">
        <v>48</v>
      </c>
      <c r="B3" s="91">
        <v>58</v>
      </c>
      <c r="C3" s="91"/>
    </row>
    <row r="4" spans="1:3" x14ac:dyDescent="0.25">
      <c r="A4" s="10" t="s">
        <v>50</v>
      </c>
      <c r="B4" s="91">
        <v>62</v>
      </c>
      <c r="C4" s="91"/>
    </row>
    <row r="5" spans="1:3" x14ac:dyDescent="0.25">
      <c r="A5" s="10" t="s">
        <v>52</v>
      </c>
      <c r="B5" s="91">
        <v>25</v>
      </c>
      <c r="C5" s="91"/>
    </row>
    <row r="6" spans="1:3" x14ac:dyDescent="0.25">
      <c r="A6" s="10" t="s">
        <v>54</v>
      </c>
      <c r="B6" s="91">
        <v>82</v>
      </c>
      <c r="C6" s="91"/>
    </row>
    <row r="7" spans="1:3" x14ac:dyDescent="0.25">
      <c r="A7" s="10" t="s">
        <v>56</v>
      </c>
      <c r="B7" s="91">
        <v>75</v>
      </c>
      <c r="C7" s="91"/>
    </row>
    <row r="8" spans="1:3" x14ac:dyDescent="0.25">
      <c r="A8" s="10" t="s">
        <v>58</v>
      </c>
      <c r="B8" s="91">
        <v>71</v>
      </c>
      <c r="C8" s="91"/>
    </row>
    <row r="9" spans="1:2" x14ac:dyDescent="0.25">
      <c r="A9" s="10" t="s">
        <v>388</v>
      </c>
      <c r="B9" s="91"/>
    </row>
    <row r="10" spans="1:2" x14ac:dyDescent="0.25">
      <c r="A10" s="10" t="s">
        <v>389</v>
      </c>
      <c r="B10" s="91"/>
    </row>
    <row r="11" spans="1:2" x14ac:dyDescent="0.25">
      <c r="A11" s="10" t="s">
        <v>390</v>
      </c>
      <c r="B11" s="91"/>
    </row>
    <row r="12" spans="1:2" x14ac:dyDescent="0.25">
      <c r="A12" s="10" t="s">
        <v>391</v>
      </c>
      <c r="B12" s="91"/>
    </row>
    <row r="14" spans="1:1" x14ac:dyDescent="0.25">
      <c r="A14" t="s">
        <v>392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1" width="17" customWidth="1"/>
    <col min="2" max="2" width="10.142857142857142" customWidth="1"/>
    <col min="3" max="3" width="12.857142857142858" customWidth="1"/>
    <col min="4" max="6" width="13.571428571428571" customWidth="1"/>
    <col min="7" max="7" width="15.142857142857142" customWidth="1"/>
    <col min="8" max="8" width="14.142857142857142" customWidth="1"/>
    <col min="9" max="24" width="13.571428571428571" customWidth="1"/>
  </cols>
  <sheetData>
    <row r="1" spans="1:8" x14ac:dyDescent="0.25">
      <c r="A1" s="15" t="s">
        <v>393</v>
      </c>
      <c r="B1" s="16"/>
      <c r="C1" s="16"/>
      <c r="F1" s="20" t="s">
        <v>394</v>
      </c>
      <c r="G1" s="20"/>
      <c r="H1" s="20"/>
    </row>
    <row r="2" spans="1:8" x14ac:dyDescent="0.25">
      <c r="A2" s="16"/>
      <c r="B2" s="16"/>
      <c r="C2" s="16"/>
      <c r="F2" s="5"/>
      <c r="G2" s="5"/>
      <c r="H2" s="5"/>
    </row>
    <row r="3" ht="41.25" customHeight="1" spans="1:8" x14ac:dyDescent="0.25">
      <c r="A3" s="61" t="s">
        <v>395</v>
      </c>
      <c r="B3" s="61" t="s">
        <v>113</v>
      </c>
      <c r="C3" s="61" t="s">
        <v>396</v>
      </c>
      <c r="F3" s="7" t="s">
        <v>172</v>
      </c>
      <c r="G3" s="8" t="s">
        <v>173</v>
      </c>
      <c r="H3" s="8"/>
    </row>
    <row r="4" spans="1:8" x14ac:dyDescent="0.25">
      <c r="A4" s="10" t="s">
        <v>397</v>
      </c>
      <c r="B4" s="90">
        <v>500</v>
      </c>
      <c r="C4" s="10"/>
      <c r="F4" s="90">
        <v>3.5</v>
      </c>
      <c r="G4" s="91"/>
      <c r="H4" s="91"/>
    </row>
    <row r="5" spans="1:8" x14ac:dyDescent="0.25">
      <c r="A5" s="10" t="s">
        <v>398</v>
      </c>
      <c r="B5" s="90">
        <v>75</v>
      </c>
      <c r="C5" s="10"/>
      <c r="F5" s="90">
        <v>2.75</v>
      </c>
      <c r="G5" s="91"/>
      <c r="H5" s="91"/>
    </row>
    <row r="6" spans="1:8" x14ac:dyDescent="0.25">
      <c r="A6" s="10" t="s">
        <v>399</v>
      </c>
      <c r="B6" s="90">
        <v>45</v>
      </c>
      <c r="C6" s="10"/>
      <c r="F6" s="90">
        <v>4.34</v>
      </c>
      <c r="G6" s="91"/>
      <c r="H6" s="91"/>
    </row>
    <row r="7" spans="1:8" x14ac:dyDescent="0.25">
      <c r="A7" s="10" t="s">
        <v>400</v>
      </c>
      <c r="B7" s="90">
        <v>125</v>
      </c>
      <c r="C7" s="10"/>
      <c r="F7" s="90">
        <v>3.45</v>
      </c>
      <c r="G7" s="91"/>
      <c r="H7" s="91"/>
    </row>
    <row r="8" spans="6:8" x14ac:dyDescent="0.25">
      <c r="F8" s="90">
        <v>3.65</v>
      </c>
      <c r="G8" s="91"/>
      <c r="H8" s="91"/>
    </row>
    <row r="10" spans="1:8" x14ac:dyDescent="0.25">
      <c r="A10" s="15" t="s">
        <v>401</v>
      </c>
      <c r="B10" s="16"/>
      <c r="C10" s="16"/>
      <c r="F10" s="15" t="s">
        <v>402</v>
      </c>
      <c r="G10" s="16"/>
      <c r="H10" s="16"/>
    </row>
    <row r="11" ht="49.5" customHeight="1" spans="1:8" x14ac:dyDescent="0.25">
      <c r="A11" s="61" t="s">
        <v>34</v>
      </c>
      <c r="B11" s="7" t="s">
        <v>73</v>
      </c>
      <c r="C11" s="8" t="s">
        <v>74</v>
      </c>
      <c r="F11" s="61" t="s">
        <v>75</v>
      </c>
      <c r="G11" s="7" t="s">
        <v>76</v>
      </c>
      <c r="H11" s="8" t="s">
        <v>77</v>
      </c>
    </row>
    <row r="12" spans="1:8" x14ac:dyDescent="0.25">
      <c r="A12" s="10" t="s">
        <v>78</v>
      </c>
      <c r="B12" s="91">
        <v>45</v>
      </c>
      <c r="C12" s="91"/>
      <c r="F12" s="10" t="s">
        <v>78</v>
      </c>
      <c r="G12" s="91">
        <v>45</v>
      </c>
      <c r="H12" s="91"/>
    </row>
    <row r="13" spans="1:8" x14ac:dyDescent="0.25">
      <c r="A13" s="10" t="s">
        <v>53</v>
      </c>
      <c r="B13" s="91">
        <v>35</v>
      </c>
      <c r="C13" s="91"/>
      <c r="F13" s="10" t="s">
        <v>53</v>
      </c>
      <c r="G13" s="91">
        <v>35</v>
      </c>
      <c r="H13" s="91"/>
    </row>
    <row r="14" spans="1:8" x14ac:dyDescent="0.25">
      <c r="A14" s="10" t="s">
        <v>79</v>
      </c>
      <c r="B14" s="91">
        <v>40</v>
      </c>
      <c r="C14" s="91"/>
      <c r="F14" s="10" t="s">
        <v>79</v>
      </c>
      <c r="G14" s="91">
        <v>40</v>
      </c>
      <c r="H14" s="91"/>
    </row>
    <row r="15" spans="1:8" x14ac:dyDescent="0.25">
      <c r="A15" s="10" t="s">
        <v>38</v>
      </c>
      <c r="B15" s="91">
        <v>39</v>
      </c>
      <c r="C15" s="91"/>
      <c r="F15" s="10" t="s">
        <v>38</v>
      </c>
      <c r="G15" s="91">
        <v>39</v>
      </c>
      <c r="H15" s="91"/>
    </row>
    <row r="16" spans="1:8" x14ac:dyDescent="0.25">
      <c r="A16" s="10" t="s">
        <v>51</v>
      </c>
      <c r="B16" s="91">
        <v>25</v>
      </c>
      <c r="C16" s="91"/>
      <c r="F16" s="10" t="s">
        <v>51</v>
      </c>
      <c r="G16" s="91">
        <v>25</v>
      </c>
      <c r="H16" s="91"/>
    </row>
    <row r="17" spans="1:8" x14ac:dyDescent="0.25">
      <c r="A17" s="10" t="s">
        <v>47</v>
      </c>
      <c r="B17" s="91">
        <v>15</v>
      </c>
      <c r="C17" s="91"/>
      <c r="F17" s="10" t="s">
        <v>47</v>
      </c>
      <c r="G17" s="91">
        <v>15</v>
      </c>
      <c r="H17" s="91"/>
    </row>
    <row r="18" spans="1:8" x14ac:dyDescent="0.25">
      <c r="A18" s="10" t="s">
        <v>80</v>
      </c>
      <c r="B18" s="91">
        <v>65</v>
      </c>
      <c r="C18" s="91"/>
      <c r="F18" s="10" t="s">
        <v>80</v>
      </c>
      <c r="G18" s="91">
        <v>65</v>
      </c>
      <c r="H18" s="91"/>
    </row>
  </sheetData>
  <mergeCells count="8">
    <mergeCell ref="F1:H1"/>
    <mergeCell ref="F2:H2"/>
    <mergeCell ref="G3:H3"/>
    <mergeCell ref="G4:H4"/>
    <mergeCell ref="G5:H5"/>
    <mergeCell ref="G6:H6"/>
    <mergeCell ref="G7:H7"/>
    <mergeCell ref="G8:H8"/>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10.428571428571429" customWidth="1"/>
    <col min="2" max="2" width="13.857142857142858" customWidth="1"/>
    <col min="3" max="3" width="12.857142857142858" customWidth="1"/>
    <col min="4" max="4" width="11.142857142857142" customWidth="1"/>
    <col min="5" max="24" width="13.571428571428571" customWidth="1"/>
  </cols>
  <sheetData>
    <row r="1" ht="30" customHeight="1" spans="1:9" x14ac:dyDescent="0.25">
      <c r="A1" s="102" t="s">
        <v>75</v>
      </c>
      <c r="B1" s="21" t="s">
        <v>76</v>
      </c>
      <c r="C1" s="21" t="s">
        <v>403</v>
      </c>
      <c r="D1" s="102" t="s">
        <v>176</v>
      </c>
      <c r="E1" s="15" t="s">
        <v>404</v>
      </c>
      <c r="H1" s="15" t="s">
        <v>405</v>
      </c>
      <c r="I1" s="103">
        <v>1.5</v>
      </c>
    </row>
    <row r="2" spans="1:2" x14ac:dyDescent="0.25">
      <c r="A2" t="s">
        <v>406</v>
      </c>
      <c r="B2" s="5">
        <v>575</v>
      </c>
    </row>
    <row r="3" spans="1:2" x14ac:dyDescent="0.25">
      <c r="A3" t="s">
        <v>407</v>
      </c>
      <c r="B3" s="5">
        <v>625</v>
      </c>
    </row>
    <row r="4" spans="1:2" x14ac:dyDescent="0.25">
      <c r="A4" t="s">
        <v>408</v>
      </c>
      <c r="B4" s="5">
        <v>1000</v>
      </c>
    </row>
    <row r="5" spans="1:2" x14ac:dyDescent="0.25">
      <c r="A5" t="s">
        <v>409</v>
      </c>
      <c r="B5" s="5">
        <v>842</v>
      </c>
    </row>
    <row r="8" spans="1:1" x14ac:dyDescent="0.25">
      <c r="A8" t="s">
        <v>410</v>
      </c>
    </row>
    <row r="9" spans="1:1" x14ac:dyDescent="0.25">
      <c r="A9" s="104" t="s">
        <v>411</v>
      </c>
    </row>
    <row r="11" spans="1:1" x14ac:dyDescent="0.25">
      <c r="A11" t="s">
        <v>412</v>
      </c>
    </row>
    <row r="12" spans="1:1" x14ac:dyDescent="0.25">
      <c r="A12" s="104" t="s">
        <v>413</v>
      </c>
    </row>
    <row r="14" spans="1:1" x14ac:dyDescent="0.25">
      <c r="A14" s="15" t="s">
        <v>414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FormatPr defaultRowHeight="15" outlineLevelRow="0" outlineLevelCol="0" x14ac:dyDescent="55"/>
  <cols>
    <col min="1" max="1" width="14.857142857142858" customWidth="1"/>
    <col min="2" max="24" width="13.571428571428571" customWidth="1"/>
  </cols>
  <sheetData>
    <row r="1" ht="30" customHeight="1" spans="1:11" x14ac:dyDescent="0.25">
      <c r="A1" s="15" t="s">
        <v>415</v>
      </c>
      <c r="B1" s="21" t="s">
        <v>416</v>
      </c>
      <c r="C1" s="21" t="s">
        <v>417</v>
      </c>
      <c r="D1" s="21" t="s">
        <v>418</v>
      </c>
      <c r="E1" s="21" t="s">
        <v>419</v>
      </c>
      <c r="F1" s="102" t="s">
        <v>420</v>
      </c>
      <c r="J1" s="20" t="s">
        <v>421</v>
      </c>
      <c r="K1" s="105">
        <v>0.3</v>
      </c>
    </row>
    <row r="2" spans="1:6" x14ac:dyDescent="0.25">
      <c r="A2" t="s">
        <v>422</v>
      </c>
      <c r="B2">
        <v>39</v>
      </c>
      <c r="C2" s="31">
        <v>10.75</v>
      </c>
      <c r="D2" s="31"/>
      <c r="E2" s="31"/>
      <c r="F2" s="31"/>
    </row>
    <row r="3" spans="1:3" x14ac:dyDescent="0.25">
      <c r="A3" t="s">
        <v>423</v>
      </c>
      <c r="B3">
        <v>38</v>
      </c>
      <c r="C3" s="31">
        <v>15</v>
      </c>
    </row>
    <row r="4" spans="1:3" x14ac:dyDescent="0.25">
      <c r="A4" t="s">
        <v>424</v>
      </c>
      <c r="B4">
        <v>40</v>
      </c>
      <c r="C4" s="31">
        <v>25</v>
      </c>
    </row>
    <row r="5" spans="1:3" x14ac:dyDescent="0.25">
      <c r="A5" t="s">
        <v>425</v>
      </c>
      <c r="B5">
        <v>40</v>
      </c>
      <c r="C5" s="31">
        <v>17.5</v>
      </c>
    </row>
    <row r="6" spans="1:6" x14ac:dyDescent="0.25">
      <c r="A6" s="106" t="s">
        <v>426</v>
      </c>
      <c r="B6" s="106"/>
      <c r="C6" s="106"/>
      <c r="D6" s="106"/>
      <c r="E6" s="106"/>
      <c r="F6" s="106"/>
    </row>
    <row r="7" spans="1:1" x14ac:dyDescent="0.25">
      <c r="A7" t="s">
        <v>427</v>
      </c>
    </row>
    <row r="8" spans="1:1" x14ac:dyDescent="0.25">
      <c r="A8" t="s">
        <v>428</v>
      </c>
    </row>
    <row r="11" spans="1:1" x14ac:dyDescent="0.25">
      <c r="A11" t="s">
        <v>429</v>
      </c>
    </row>
    <row r="12" spans="1:1" x14ac:dyDescent="0.25">
      <c r="A12" s="104" t="s">
        <v>430</v>
      </c>
    </row>
    <row r="13" spans="1:1" x14ac:dyDescent="0.25">
      <c r="A13" s="104" t="s">
        <v>431</v>
      </c>
    </row>
    <row r="14" spans="1:1" x14ac:dyDescent="0.25">
      <c r="A14" s="104" t="s">
        <v>432</v>
      </c>
    </row>
    <row r="16" spans="1:1" x14ac:dyDescent="0.25">
      <c r="A16" s="104" t="s">
        <v>433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Comparison Operators</vt:lpstr>
      <vt:lpstr>Passing &amp; Temperature</vt:lpstr>
      <vt:lpstr>Typing &amp; Trucking</vt:lpstr>
      <vt:lpstr>Exact Match VLOOKUP</vt:lpstr>
      <vt:lpstr>More VLOOKUP</vt:lpstr>
      <vt:lpstr>Extra IF functions</vt:lpstr>
      <vt:lpstr>Extra VLOOKUP-Students</vt:lpstr>
      <vt:lpstr>Fees</vt:lpstr>
      <vt:lpstr>TestScores</vt:lpstr>
      <vt:lpstr>Practice-Temp</vt:lpstr>
      <vt:lpstr>Worksheet Examples</vt:lpstr>
      <vt:lpstr>Practice 1</vt:lpstr>
      <vt:lpstr>Practice 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2026-10-11T22:59:42Z</dcterms:created>
  <dcterms:modified xsi:type="dcterms:W3CDTF">2026-10-11T22:59:42Z</dcterms:modified>
</cp:coreProperties>
</file>